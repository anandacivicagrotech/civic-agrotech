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6"/>
  <workbookPr/>
  <mc:AlternateContent xmlns:mc="http://schemas.openxmlformats.org/markup-compatibility/2006">
    <mc:Choice Requires="x15">
      <x15ac:absPath xmlns:x15ac="http://schemas.microsoft.com/office/spreadsheetml/2010/11/ac" url="C:\Users\Weerawut Dechmareong\OneDrive - CIVIC AGROTECH\การทดลอง\การทดลอง Lab A\"/>
    </mc:Choice>
  </mc:AlternateContent>
  <xr:revisionPtr revIDLastSave="16" documentId="13_ncr:1_{3F20526A-449D-440E-8FFA-06EA38DE978D}" xr6:coauthVersionLast="40" xr6:coauthVersionMax="47" xr10:uidLastSave="{5E38CD3C-AA88-4B52-B9BA-47679678CB0F}"/>
  <bookViews>
    <workbookView xWindow="14650" yWindow="3710" windowWidth="8740" windowHeight="8880" activeTab="1" xr2:uid="{00000000-000D-0000-FFFF-FFFF00000000}"/>
  </bookViews>
  <sheets>
    <sheet name="แสง" sheetId="1" r:id="rId1"/>
    <sheet name="สูตรปลูก" sheetId="2" r:id="rId2"/>
    <sheet name="แผนปลูก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6" i="1" l="1"/>
  <c r="K74" i="1"/>
  <c r="K69" i="1"/>
  <c r="K67" i="1"/>
  <c r="K62" i="1"/>
  <c r="K60" i="1"/>
  <c r="N54" i="1"/>
  <c r="K54" i="1"/>
  <c r="N52" i="1"/>
  <c r="K52" i="1"/>
  <c r="Q47" i="1"/>
  <c r="N47" i="1"/>
  <c r="K47" i="1"/>
  <c r="Q45" i="1"/>
  <c r="N45" i="1"/>
  <c r="K45" i="1"/>
  <c r="Q40" i="1"/>
  <c r="N40" i="1"/>
  <c r="K40" i="1"/>
  <c r="Q38" i="1"/>
  <c r="N38" i="1"/>
  <c r="K38" i="1"/>
  <c r="N32" i="1"/>
  <c r="K32" i="1"/>
  <c r="N30" i="1"/>
  <c r="K30" i="1"/>
  <c r="N25" i="1"/>
  <c r="K25" i="1"/>
  <c r="N23" i="1"/>
  <c r="K23" i="1"/>
  <c r="N17" i="1"/>
  <c r="K17" i="1"/>
  <c r="N15" i="1"/>
  <c r="K15" i="1"/>
</calcChain>
</file>

<file path=xl/sharedStrings.xml><?xml version="1.0" encoding="utf-8"?>
<sst xmlns="http://schemas.openxmlformats.org/spreadsheetml/2006/main" count="1064" uniqueCount="213">
  <si>
    <t>ลดโพแทสเซียม
Frillice</t>
  </si>
  <si>
    <t>42 วัน</t>
  </si>
  <si>
    <t>ลำดับ</t>
  </si>
  <si>
    <t>รายละเอียด</t>
  </si>
  <si>
    <t>เพาะเมล็ด</t>
  </si>
  <si>
    <t>ให้แสง</t>
  </si>
  <si>
    <t>อนุบาล</t>
  </si>
  <si>
    <t>ปลูกจริง</t>
  </si>
  <si>
    <t>สัปดาห์ที่ 1</t>
  </si>
  <si>
    <t>สัปดาห์ 2</t>
  </si>
  <si>
    <t>สัปดาห์ 3</t>
  </si>
  <si>
    <t>สัปดาห์ 4</t>
  </si>
  <si>
    <t>จำนวนวัน</t>
  </si>
  <si>
    <t>ความเข้มแสง w</t>
  </si>
  <si>
    <t>-</t>
  </si>
  <si>
    <t>เวลาให้แสง</t>
  </si>
  <si>
    <t>White</t>
  </si>
  <si>
    <t>ตั้งโอ๋ 35 วัน</t>
  </si>
  <si>
    <t>อัตตรา</t>
  </si>
  <si>
    <t>ความเข้ม</t>
  </si>
  <si>
    <t>Layer 2</t>
  </si>
  <si>
    <t>รายการ</t>
  </si>
  <si>
    <t xml:space="preserve">อนุบาล1 </t>
  </si>
  <si>
    <t>ปลูกสัปดาห์ 1</t>
  </si>
  <si>
    <t>ปลูกสัปดาห์ 2</t>
  </si>
  <si>
    <t>ปลูกสัปดาห์ 3</t>
  </si>
  <si>
    <t>การทดลองที่ 2</t>
  </si>
  <si>
    <t>ต้นกล้า</t>
  </si>
  <si>
    <t>ชั้นปลูก</t>
  </si>
  <si>
    <t>กรรมวิธีที่ 5</t>
  </si>
  <si>
    <t>สัปดาห์ที่ 2</t>
  </si>
  <si>
    <t>สัปดาห์ที่ 3</t>
  </si>
  <si>
    <t>R 1</t>
  </si>
  <si>
    <t xml:space="preserve">R:B </t>
  </si>
  <si>
    <t>W</t>
  </si>
  <si>
    <t>1:8</t>
  </si>
  <si>
    <t>แสง</t>
  </si>
  <si>
    <t>R:B 1.8</t>
  </si>
  <si>
    <t>ความเข้มแสง</t>
  </si>
  <si>
    <t xml:space="preserve">230±30 </t>
  </si>
  <si>
    <t>B 8</t>
  </si>
  <si>
    <t>ชั่วโมงให้แสง</t>
  </si>
  <si>
    <t>14 ชม.</t>
  </si>
  <si>
    <t>24 ชม</t>
  </si>
  <si>
    <t>R:B</t>
  </si>
  <si>
    <r>
      <rPr>
        <sz val="10"/>
        <color rgb="FFFF0000"/>
        <rFont val="Arial"/>
        <family val="2"/>
      </rPr>
      <t>28</t>
    </r>
    <r>
      <rPr>
        <sz val="10"/>
        <color rgb="FF0000FF"/>
        <rFont val="Arial"/>
        <family val="2"/>
      </rPr>
      <t xml:space="preserve"> : 222</t>
    </r>
  </si>
  <si>
    <t>การทดลองที่ 3</t>
  </si>
  <si>
    <t>Layer 3</t>
  </si>
  <si>
    <t>กรรมวิธีที่ 3</t>
  </si>
  <si>
    <t>R:B 1:8</t>
  </si>
  <si>
    <t>B100</t>
  </si>
  <si>
    <t>Blue</t>
  </si>
  <si>
    <t>290±30</t>
  </si>
  <si>
    <t>กรรมวิธีที่ 6</t>
  </si>
  <si>
    <t>R:B 1:8 + Fr</t>
  </si>
  <si>
    <t>B100+ Fr</t>
  </si>
  <si>
    <t>230±30, 30</t>
  </si>
  <si>
    <t>เคล 47 วัน</t>
  </si>
  <si>
    <t>การทดลองที่ 1</t>
  </si>
  <si>
    <t>Layer 1</t>
  </si>
  <si>
    <t>อนุบาล2</t>
  </si>
  <si>
    <t>ปลูก</t>
  </si>
  <si>
    <t>เลี้ยงน้ำ</t>
  </si>
  <si>
    <t>R:B 10:1</t>
  </si>
  <si>
    <t>R:B 1:1</t>
  </si>
  <si>
    <t>R 3</t>
  </si>
  <si>
    <t>3:1</t>
  </si>
  <si>
    <t>1:1</t>
  </si>
  <si>
    <t>150-200</t>
  </si>
  <si>
    <t>12 ชม.</t>
  </si>
  <si>
    <t>B 1</t>
  </si>
  <si>
    <r>
      <rPr>
        <sz val="10"/>
        <color rgb="FFFF0000"/>
        <rFont val="Arial"/>
        <family val="2"/>
      </rPr>
      <t xml:space="preserve">225 : </t>
    </r>
    <r>
      <rPr>
        <sz val="10"/>
        <color rgb="FF0000FF"/>
        <rFont val="Arial"/>
        <family val="2"/>
      </rPr>
      <t>75</t>
    </r>
  </si>
  <si>
    <r>
      <rPr>
        <sz val="10"/>
        <color rgb="FFFF0000"/>
        <rFont val="Arial"/>
        <family val="2"/>
      </rPr>
      <t>225 :</t>
    </r>
    <r>
      <rPr>
        <sz val="10"/>
        <color rgb="FF0000FF"/>
        <rFont val="Arial"/>
        <family val="2"/>
      </rPr>
      <t>225</t>
    </r>
  </si>
  <si>
    <t>การทดลองที่ 4</t>
  </si>
  <si>
    <t>กรรมวิธีที่ 7</t>
  </si>
  <si>
    <t>R 10</t>
  </si>
  <si>
    <t>10:1</t>
  </si>
  <si>
    <t>300±30</t>
  </si>
  <si>
    <t>24 ชม.</t>
  </si>
  <si>
    <r>
      <rPr>
        <sz val="10"/>
        <color rgb="FFFF0000"/>
        <rFont val="Arial"/>
        <family val="2"/>
      </rPr>
      <t xml:space="preserve">273 : </t>
    </r>
    <r>
      <rPr>
        <sz val="10"/>
        <color rgb="FF0000FF"/>
        <rFont val="Arial"/>
        <family val="2"/>
      </rPr>
      <t>27</t>
    </r>
  </si>
  <si>
    <t>การทดลองที่ 5</t>
  </si>
  <si>
    <t>กรรมวิธีที่ 1</t>
  </si>
  <si>
    <t>R:B 3:1</t>
  </si>
  <si>
    <t>300±31</t>
  </si>
  <si>
    <t>Sorrel 39 วัน</t>
  </si>
  <si>
    <t>Sorrel 40 วัน</t>
  </si>
  <si>
    <t>แช่เมล็ด</t>
  </si>
  <si>
    <t>บ่มเมล็ด</t>
  </si>
  <si>
    <t>อนุบาล 1</t>
  </si>
  <si>
    <t>อนุบาล 2</t>
  </si>
  <si>
    <t>R:B (white 4000K)</t>
  </si>
  <si>
    <t>1.77:1</t>
  </si>
  <si>
    <t>R:B 1:12</t>
  </si>
  <si>
    <t>135±10</t>
  </si>
  <si>
    <t>150±10</t>
  </si>
  <si>
    <t>200±25</t>
  </si>
  <si>
    <t>B 12</t>
  </si>
  <si>
    <t>12 ชม</t>
  </si>
  <si>
    <t>white 4000K</t>
  </si>
  <si>
    <t>140-150</t>
  </si>
  <si>
    <r>
      <rPr>
        <sz val="10"/>
        <color rgb="FFFF0000"/>
        <rFont val="Arial"/>
        <family val="2"/>
      </rPr>
      <t xml:space="preserve">150 : </t>
    </r>
    <r>
      <rPr>
        <sz val="10"/>
        <color rgb="FF0000FF"/>
        <rFont val="Arial"/>
        <family val="2"/>
      </rPr>
      <t>50</t>
    </r>
  </si>
  <si>
    <r>
      <rPr>
        <sz val="10"/>
        <color rgb="FFFF0000"/>
        <rFont val="Arial"/>
        <family val="2"/>
      </rPr>
      <t xml:space="preserve">15 : </t>
    </r>
    <r>
      <rPr>
        <sz val="10"/>
        <color rgb="FF0000FF"/>
        <rFont val="Arial"/>
        <family val="2"/>
      </rPr>
      <t>185</t>
    </r>
  </si>
  <si>
    <t>R:B 12:1</t>
  </si>
  <si>
    <t>1:12 + Blue</t>
  </si>
  <si>
    <t>200+50</t>
  </si>
  <si>
    <r>
      <rPr>
        <sz val="10"/>
        <color rgb="FFFF0000"/>
        <rFont val="Arial"/>
        <family val="2"/>
      </rPr>
      <t xml:space="preserve">15 : </t>
    </r>
    <r>
      <rPr>
        <sz val="10"/>
        <color rgb="FF0000FF"/>
        <rFont val="Arial"/>
        <family val="2"/>
      </rPr>
      <t>185 + 50</t>
    </r>
  </si>
  <si>
    <t>ลดโพแทสเซียม</t>
  </si>
  <si>
    <t>สูตรปกติ 100 เท่า</t>
  </si>
  <si>
    <t>สูตรโพแทสเซียมต่ำ 100 เท่า</t>
  </si>
  <si>
    <t>สารเคมี</t>
  </si>
  <si>
    <t>Stock 40 ลิตร</t>
  </si>
  <si>
    <t>Calcium nitrate (Ca(NO₃)₂·4H₂O)</t>
  </si>
  <si>
    <t>Fe-EDTA</t>
  </si>
  <si>
    <t>Fe-EDDHA</t>
  </si>
  <si>
    <t>สูตรปุ๋ย</t>
  </si>
  <si>
    <t>สูตรปกติ</t>
  </si>
  <si>
    <t>สุตร K ต่ำ</t>
  </si>
  <si>
    <t>Potassium nitrate (KNO₃)</t>
  </si>
  <si>
    <t>EC</t>
  </si>
  <si>
    <t>1.2-1.4</t>
  </si>
  <si>
    <t>0.8-1.0</t>
  </si>
  <si>
    <t>0.4-0.6</t>
  </si>
  <si>
    <t>Monoammonium phosphate (NH₄H₂PO₄)</t>
  </si>
  <si>
    <t>PH</t>
  </si>
  <si>
    <t>5.5-6.5</t>
  </si>
  <si>
    <t>Magnesium sulfate (MgSO₄·7H₂O)</t>
  </si>
  <si>
    <t>ความชื้น</t>
  </si>
  <si>
    <t>70-80%</t>
  </si>
  <si>
    <t>Micronutrient solution</t>
  </si>
  <si>
    <t>อุณหภูมิ</t>
  </si>
  <si>
    <t>22-25</t>
  </si>
  <si>
    <t>0.8-1.2</t>
  </si>
  <si>
    <t>1.2-1.5</t>
  </si>
  <si>
    <t>5.5-5.6</t>
  </si>
  <si>
    <t>5.8-6.2</t>
  </si>
  <si>
    <t>อุณหภูมิช่วงเปิดไฟ</t>
  </si>
  <si>
    <t>25±1</t>
  </si>
  <si>
    <t>อุณหภูมิช่วงปิดไฟ</t>
  </si>
  <si>
    <t>22±1</t>
  </si>
  <si>
    <t>CO2</t>
  </si>
  <si>
    <t>1000±150</t>
  </si>
  <si>
    <t>1200±150</t>
  </si>
  <si>
    <t>ปุ๋ย</t>
  </si>
  <si>
    <t>Vesco No1</t>
  </si>
  <si>
    <t>Enshi</t>
  </si>
  <si>
    <t>5.8-6.3</t>
  </si>
  <si>
    <t>Vesco</t>
  </si>
  <si>
    <t>บ่ม</t>
  </si>
  <si>
    <t>อนุบาล1</t>
  </si>
  <si>
    <t>Crop 1</t>
  </si>
  <si>
    <t>ชนิดพืช</t>
  </si>
  <si>
    <t>เก็บเกี่ยว</t>
  </si>
  <si>
    <t>144 ต้น</t>
  </si>
  <si>
    <t>ตั้งโอ๋</t>
  </si>
  <si>
    <t>29/04/68</t>
  </si>
  <si>
    <t>14/05/68</t>
  </si>
  <si>
    <t>216 ต้น</t>
  </si>
  <si>
    <t>เคล</t>
  </si>
  <si>
    <t>21/05/68</t>
  </si>
  <si>
    <t>15/06/68</t>
  </si>
  <si>
    <t>Sorrel</t>
  </si>
  <si>
    <t>30/04/68</t>
  </si>
  <si>
    <t>72 ต้น</t>
  </si>
  <si>
    <t>Fillice</t>
  </si>
  <si>
    <t>19/05/68</t>
  </si>
  <si>
    <t>22/05/68</t>
  </si>
  <si>
    <t>26/05/68</t>
  </si>
  <si>
    <t>23/06/68</t>
  </si>
  <si>
    <t>19/05/68(3)วัน</t>
  </si>
  <si>
    <t>22/05/68(4วัน)</t>
  </si>
  <si>
    <t>26/05/68(7วัน)</t>
  </si>
  <si>
    <t>02-8/06/68(7วัน)</t>
  </si>
  <si>
    <t>09/06/68(26)</t>
  </si>
  <si>
    <t>20/05/68</t>
  </si>
  <si>
    <t>25/05/68</t>
  </si>
  <si>
    <t>27/05/68</t>
  </si>
  <si>
    <t>30/05/68(28)</t>
  </si>
  <si>
    <t>27/06/68</t>
  </si>
  <si>
    <t>30/06/68</t>
  </si>
  <si>
    <t>Crop 2</t>
  </si>
  <si>
    <t>14/06/68</t>
  </si>
  <si>
    <t>18/06/68</t>
  </si>
  <si>
    <t>25/06/68</t>
  </si>
  <si>
    <t>15/07/68</t>
  </si>
  <si>
    <t>35 วัน</t>
  </si>
  <si>
    <t>17/06/68</t>
  </si>
  <si>
    <t>26/06/68</t>
  </si>
  <si>
    <t>25/07/68 + 2 วัน</t>
  </si>
  <si>
    <t>47 วัน</t>
  </si>
  <si>
    <t>29/07/68</t>
  </si>
  <si>
    <t>16/06/68</t>
  </si>
  <si>
    <t>20/07/68</t>
  </si>
  <si>
    <t>40 วัน</t>
  </si>
  <si>
    <t>21/06/68</t>
  </si>
  <si>
    <t>19/07/68</t>
  </si>
  <si>
    <t>ปลูกสัปดาห์ที่1</t>
  </si>
  <si>
    <t>ปลูกสัปดาห์ที่2</t>
  </si>
  <si>
    <t>ปลูกสัปดาห์ที่3</t>
  </si>
  <si>
    <t>ปลูกสัปดาห์ที่4</t>
  </si>
  <si>
    <t>42วัน</t>
  </si>
  <si>
    <t>ชั้น 1</t>
  </si>
  <si>
    <t>ชั้น 2</t>
  </si>
  <si>
    <t>ชั้น 3</t>
  </si>
  <si>
    <t>PPFD</t>
  </si>
  <si>
    <t>250/300</t>
  </si>
  <si>
    <t>190-260</t>
  </si>
  <si>
    <t>170-270</t>
  </si>
  <si>
    <t>190-250</t>
  </si>
  <si>
    <t>130-180</t>
  </si>
  <si>
    <t>140-210</t>
  </si>
  <si>
    <t>130-200</t>
  </si>
  <si>
    <t>R 18 ppfd 34</t>
  </si>
  <si>
    <t>Crop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</si>
</sst>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m/dd/yy"/>
  </numFmts>
  <fonts count="25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999999"/>
      <name val="Arial"/>
      <family val="2"/>
    </font>
    <font>
      <b/>
      <sz val="10"/>
      <color rgb="FF999999"/>
      <name val="Arial"/>
      <family val="2"/>
    </font>
    <font>
      <sz val="10"/>
      <color rgb="FF999999"/>
      <name val="Arial"/>
      <family val="2"/>
      <scheme val="minor"/>
    </font>
    <font>
      <sz val="10"/>
      <color rgb="FF8E7CC3"/>
      <name val="Arial"/>
      <family val="2"/>
    </font>
    <font>
      <sz val="10"/>
      <color rgb="FF6AA84F"/>
      <name val="Arial"/>
      <family val="2"/>
    </font>
    <font>
      <sz val="10"/>
      <color rgb="FF9900FF"/>
      <name val="Arial"/>
      <family val="2"/>
    </font>
    <font>
      <sz val="11"/>
      <color theme="1"/>
      <name val="Tahoma"/>
      <family val="2"/>
    </font>
    <font>
      <b/>
      <sz val="12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  <scheme val="minor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5" fillId="3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" fillId="5" borderId="0" xfId="0" applyFont="1" applyFill="1"/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6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2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6" xfId="0" applyFont="1" applyBorder="1"/>
    <xf numFmtId="0" fontId="12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3" fillId="0" borderId="0" xfId="0" applyFo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7" xfId="0" applyFont="1" applyBorder="1"/>
    <xf numFmtId="0" fontId="10" fillId="0" borderId="7" xfId="0" applyFont="1" applyBorder="1" applyAlignment="1">
      <alignment horizontal="center"/>
    </xf>
    <xf numFmtId="0" fontId="14" fillId="5" borderId="0" xfId="0" applyFont="1" applyFill="1"/>
    <xf numFmtId="0" fontId="15" fillId="0" borderId="6" xfId="0" applyFont="1" applyBorder="1" applyAlignment="1">
      <alignment horizontal="center" vertical="center"/>
    </xf>
    <xf numFmtId="0" fontId="14" fillId="0" borderId="0" xfId="0" applyFont="1"/>
    <xf numFmtId="0" fontId="14" fillId="0" borderId="6" xfId="0" applyFont="1" applyBorder="1"/>
    <xf numFmtId="0" fontId="14" fillId="0" borderId="6" xfId="0" applyFont="1" applyBorder="1" applyAlignment="1">
      <alignment horizontal="center"/>
    </xf>
    <xf numFmtId="0" fontId="16" fillId="0" borderId="0" xfId="0" applyFont="1"/>
    <xf numFmtId="0" fontId="16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" fillId="7" borderId="0" xfId="0" applyFont="1" applyFill="1"/>
    <xf numFmtId="0" fontId="19" fillId="0" borderId="6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8" fillId="4" borderId="0" xfId="0" applyFont="1" applyFill="1"/>
    <xf numFmtId="0" fontId="2" fillId="8" borderId="0" xfId="0" applyFont="1" applyFill="1"/>
    <xf numFmtId="20" fontId="2" fillId="0" borderId="6" xfId="0" applyNumberFormat="1" applyFont="1" applyBorder="1" applyAlignment="1">
      <alignment horizontal="center"/>
    </xf>
    <xf numFmtId="0" fontId="20" fillId="0" borderId="6" xfId="0" applyFont="1" applyBorder="1"/>
    <xf numFmtId="0" fontId="6" fillId="0" borderId="6" xfId="0" applyFont="1" applyBorder="1"/>
    <xf numFmtId="0" fontId="11" fillId="0" borderId="0" xfId="0" applyFont="1" applyAlignment="1">
      <alignment horizontal="right"/>
    </xf>
    <xf numFmtId="0" fontId="10" fillId="3" borderId="6" xfId="0" applyFont="1" applyFill="1" applyBorder="1" applyAlignment="1">
      <alignment horizontal="center"/>
    </xf>
    <xf numFmtId="20" fontId="10" fillId="0" borderId="6" xfId="0" applyNumberFormat="1" applyFont="1" applyBorder="1" applyAlignment="1">
      <alignment horizontal="center"/>
    </xf>
    <xf numFmtId="0" fontId="10" fillId="0" borderId="6" xfId="0" applyFont="1" applyBorder="1"/>
    <xf numFmtId="0" fontId="13" fillId="0" borderId="6" xfId="0" applyFont="1" applyBorder="1"/>
    <xf numFmtId="0" fontId="11" fillId="7" borderId="0" xfId="0" applyFont="1" applyFill="1"/>
    <xf numFmtId="0" fontId="3" fillId="11" borderId="6" xfId="0" applyFont="1" applyFill="1" applyBorder="1" applyAlignment="1">
      <alignment horizontal="center"/>
    </xf>
    <xf numFmtId="0" fontId="15" fillId="10" borderId="6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87" fontId="14" fillId="0" borderId="6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87" fontId="2" fillId="0" borderId="6" xfId="0" applyNumberFormat="1" applyFont="1" applyBorder="1" applyAlignment="1">
      <alignment horizontal="center"/>
    </xf>
    <xf numFmtId="187" fontId="11" fillId="0" borderId="8" xfId="0" applyNumberFormat="1" applyFont="1" applyBorder="1" applyAlignment="1">
      <alignment horizontal="center"/>
    </xf>
    <xf numFmtId="0" fontId="11" fillId="12" borderId="0" xfId="0" applyFont="1" applyFill="1" applyAlignment="1">
      <alignment horizontal="right"/>
    </xf>
    <xf numFmtId="0" fontId="2" fillId="12" borderId="6" xfId="0" applyFont="1" applyFill="1" applyBorder="1" applyAlignment="1">
      <alignment horizontal="center"/>
    </xf>
    <xf numFmtId="0" fontId="2" fillId="12" borderId="6" xfId="0" applyFont="1" applyFill="1" applyBorder="1"/>
    <xf numFmtId="187" fontId="2" fillId="12" borderId="6" xfId="0" applyNumberFormat="1" applyFont="1" applyFill="1" applyBorder="1" applyAlignment="1">
      <alignment horizontal="center"/>
    </xf>
    <xf numFmtId="0" fontId="11" fillId="12" borderId="0" xfId="0" applyFont="1" applyFill="1"/>
    <xf numFmtId="0" fontId="11" fillId="0" borderId="0" xfId="0" applyFont="1"/>
    <xf numFmtId="187" fontId="11" fillId="0" borderId="6" xfId="0" applyNumberFormat="1" applyFont="1" applyBorder="1" applyAlignment="1">
      <alignment horizontal="center"/>
    </xf>
    <xf numFmtId="187" fontId="3" fillId="10" borderId="6" xfId="0" applyNumberFormat="1" applyFont="1" applyFill="1" applyBorder="1" applyAlignment="1">
      <alignment horizontal="center"/>
    </xf>
    <xf numFmtId="187" fontId="2" fillId="0" borderId="8" xfId="0" applyNumberFormat="1" applyFont="1" applyBorder="1"/>
    <xf numFmtId="0" fontId="2" fillId="0" borderId="8" xfId="0" applyFont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87" fontId="2" fillId="3" borderId="9" xfId="0" applyNumberFormat="1" applyFont="1" applyFill="1" applyBorder="1" applyAlignment="1">
      <alignment horizontal="center"/>
    </xf>
    <xf numFmtId="14" fontId="0" fillId="0" borderId="11" xfId="0" applyNumberFormat="1" applyBorder="1"/>
    <xf numFmtId="0" fontId="3" fillId="10" borderId="1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2" borderId="0" xfId="0" applyFont="1" applyFill="1"/>
    <xf numFmtId="0" fontId="0" fillId="0" borderId="0" xfId="0"/>
    <xf numFmtId="0" fontId="3" fillId="10" borderId="1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4" fillId="0" borderId="5" xfId="0" applyFont="1" applyBorder="1"/>
    <xf numFmtId="0" fontId="21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15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0" fillId="0" borderId="10" xfId="0" applyBorder="1"/>
    <xf numFmtId="14" fontId="0" fillId="0" borderId="0" xfId="0" applyNumberFormat="1"/>
    <xf numFmtId="187" fontId="3" fillId="10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87" fontId="2" fillId="0" borderId="0" xfId="0" applyNumberFormat="1" applyFont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14" fontId="0" fillId="13" borderId="0" xfId="0" applyNumberFormat="1" applyFill="1" applyAlignment="1">
      <alignment horizontal="center"/>
    </xf>
    <xf numFmtId="0" fontId="2" fillId="13" borderId="12" xfId="0" applyFont="1" applyFill="1" applyBorder="1" applyAlignment="1">
      <alignment horizontal="center"/>
    </xf>
    <xf numFmtId="187" fontId="2" fillId="13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76"/>
  <sheetViews>
    <sheetView topLeftCell="K16" workbookViewId="0">
      <selection activeCell="T81" sqref="T81"/>
    </sheetView>
  </sheetViews>
  <sheetFormatPr defaultColWidth="12.6328125" defaultRowHeight="15.75" customHeight="1" x14ac:dyDescent="0.25"/>
  <cols>
    <col min="2" max="2" width="28.453125" customWidth="1"/>
    <col min="3" max="3" width="14.6328125" customWidth="1"/>
  </cols>
  <sheetData>
    <row r="3" spans="2:23" ht="13" x14ac:dyDescent="0.3">
      <c r="B3" s="99" t="s">
        <v>0</v>
      </c>
      <c r="M3" s="91" t="s">
        <v>200</v>
      </c>
      <c r="N3" s="91" t="s">
        <v>203</v>
      </c>
      <c r="O3" s="91" t="s">
        <v>201</v>
      </c>
      <c r="P3" s="91" t="s">
        <v>203</v>
      </c>
      <c r="Q3" s="91" t="s">
        <v>202</v>
      </c>
    </row>
    <row r="4" spans="2:23" ht="12.5" x14ac:dyDescent="0.25">
      <c r="B4" s="100"/>
      <c r="C4" s="2" t="s">
        <v>1</v>
      </c>
      <c r="D4" s="2"/>
      <c r="E4" s="2"/>
      <c r="F4" s="2"/>
      <c r="G4" s="2"/>
      <c r="H4" s="2"/>
      <c r="I4" s="2"/>
      <c r="J4" s="2"/>
      <c r="K4" s="2"/>
      <c r="M4" s="92" t="s">
        <v>59</v>
      </c>
      <c r="O4" s="92" t="s">
        <v>59</v>
      </c>
      <c r="P4" t="s">
        <v>206</v>
      </c>
      <c r="Q4" s="92" t="s">
        <v>59</v>
      </c>
      <c r="R4" t="s">
        <v>208</v>
      </c>
    </row>
    <row r="5" spans="2:23" ht="13" x14ac:dyDescent="0.3">
      <c r="C5" s="94" t="s">
        <v>2</v>
      </c>
      <c r="D5" s="94" t="s">
        <v>3</v>
      </c>
      <c r="E5" s="94" t="s">
        <v>4</v>
      </c>
      <c r="F5" s="94" t="s">
        <v>5</v>
      </c>
      <c r="G5" s="94" t="s">
        <v>6</v>
      </c>
      <c r="H5" s="96" t="s">
        <v>7</v>
      </c>
      <c r="I5" s="97"/>
      <c r="J5" s="97"/>
      <c r="K5" s="98"/>
      <c r="M5" s="92" t="s">
        <v>20</v>
      </c>
      <c r="O5" s="92" t="s">
        <v>20</v>
      </c>
      <c r="P5" t="s">
        <v>205</v>
      </c>
      <c r="Q5" s="92" t="s">
        <v>20</v>
      </c>
      <c r="R5" t="s">
        <v>209</v>
      </c>
    </row>
    <row r="6" spans="2:23" ht="13" x14ac:dyDescent="0.3">
      <c r="C6" s="95"/>
      <c r="D6" s="95"/>
      <c r="E6" s="95"/>
      <c r="F6" s="95"/>
      <c r="G6" s="95"/>
      <c r="H6" s="3" t="s">
        <v>8</v>
      </c>
      <c r="I6" s="3" t="s">
        <v>9</v>
      </c>
      <c r="J6" s="3" t="s">
        <v>10</v>
      </c>
      <c r="K6" s="3" t="s">
        <v>11</v>
      </c>
      <c r="M6" s="92" t="s">
        <v>47</v>
      </c>
      <c r="N6" t="s">
        <v>204</v>
      </c>
      <c r="O6" s="92" t="s">
        <v>47</v>
      </c>
      <c r="P6" t="s">
        <v>207</v>
      </c>
      <c r="Q6" s="92" t="s">
        <v>47</v>
      </c>
      <c r="R6" t="s">
        <v>210</v>
      </c>
    </row>
    <row r="7" spans="2:23" ht="12.5" x14ac:dyDescent="0.25">
      <c r="C7" s="4">
        <v>1</v>
      </c>
      <c r="D7" s="5" t="s">
        <v>12</v>
      </c>
      <c r="E7" s="6">
        <v>3</v>
      </c>
      <c r="F7" s="6">
        <v>4</v>
      </c>
      <c r="G7" s="6">
        <v>7</v>
      </c>
      <c r="H7" s="4">
        <v>7</v>
      </c>
      <c r="I7" s="4">
        <v>7</v>
      </c>
      <c r="J7" s="4">
        <v>7</v>
      </c>
      <c r="K7" s="4">
        <v>7</v>
      </c>
    </row>
    <row r="8" spans="2:23" ht="12.5" x14ac:dyDescent="0.25">
      <c r="C8" s="4">
        <v>2</v>
      </c>
      <c r="D8" s="5" t="s">
        <v>13</v>
      </c>
      <c r="E8" s="7" t="s">
        <v>14</v>
      </c>
      <c r="F8" s="7">
        <v>150</v>
      </c>
      <c r="G8" s="7">
        <v>150</v>
      </c>
      <c r="H8" s="4">
        <v>300</v>
      </c>
      <c r="I8" s="4">
        <v>300</v>
      </c>
      <c r="J8" s="4">
        <v>300</v>
      </c>
      <c r="K8" s="4">
        <v>300</v>
      </c>
    </row>
    <row r="9" spans="2:23" ht="12.5" x14ac:dyDescent="0.25">
      <c r="C9" s="4">
        <v>3</v>
      </c>
      <c r="D9" s="5" t="s">
        <v>15</v>
      </c>
      <c r="E9" s="7" t="s">
        <v>14</v>
      </c>
      <c r="F9" s="7">
        <v>24</v>
      </c>
      <c r="G9" s="7">
        <v>24</v>
      </c>
      <c r="H9" s="7">
        <v>12</v>
      </c>
      <c r="I9" s="7">
        <v>12</v>
      </c>
      <c r="J9" s="7">
        <v>12</v>
      </c>
      <c r="K9" s="7">
        <v>12</v>
      </c>
    </row>
    <row r="10" spans="2:23" ht="12.5" x14ac:dyDescent="0.25">
      <c r="C10" s="8">
        <v>3</v>
      </c>
      <c r="D10" s="9" t="s">
        <v>16</v>
      </c>
      <c r="E10" s="9"/>
      <c r="F10" s="10">
        <v>150</v>
      </c>
      <c r="G10" s="10">
        <v>300</v>
      </c>
      <c r="H10" s="10">
        <v>300</v>
      </c>
      <c r="I10" s="10">
        <v>300</v>
      </c>
      <c r="J10" s="10">
        <v>300</v>
      </c>
      <c r="K10" s="10">
        <v>300</v>
      </c>
    </row>
    <row r="12" spans="2:23" ht="15.75" customHeight="1" x14ac:dyDescent="0.4">
      <c r="P12" s="11" t="s">
        <v>17</v>
      </c>
    </row>
    <row r="13" spans="2:23" ht="18" x14ac:dyDescent="0.4">
      <c r="B13" s="11" t="s">
        <v>17</v>
      </c>
      <c r="J13" s="12" t="s">
        <v>18</v>
      </c>
      <c r="K13" s="12" t="s">
        <v>19</v>
      </c>
      <c r="M13" s="12" t="s">
        <v>18</v>
      </c>
      <c r="N13" s="12" t="s">
        <v>19</v>
      </c>
      <c r="P13" s="13" t="s">
        <v>20</v>
      </c>
      <c r="Q13" s="14" t="s">
        <v>21</v>
      </c>
      <c r="R13" s="15" t="s">
        <v>4</v>
      </c>
      <c r="S13" s="15" t="s">
        <v>5</v>
      </c>
      <c r="T13" s="15" t="s">
        <v>22</v>
      </c>
      <c r="U13" s="15" t="s">
        <v>23</v>
      </c>
      <c r="V13" s="15" t="s">
        <v>24</v>
      </c>
      <c r="W13" s="15" t="s">
        <v>25</v>
      </c>
    </row>
    <row r="14" spans="2:23" ht="13" x14ac:dyDescent="0.25">
      <c r="B14" s="16" t="s">
        <v>26</v>
      </c>
      <c r="C14" s="14" t="s">
        <v>21</v>
      </c>
      <c r="D14" s="14" t="s">
        <v>27</v>
      </c>
      <c r="E14" s="14" t="s">
        <v>28</v>
      </c>
      <c r="F14" s="14" t="s">
        <v>28</v>
      </c>
      <c r="G14" s="14" t="s">
        <v>28</v>
      </c>
      <c r="I14" s="17"/>
      <c r="J14" s="18">
        <v>9</v>
      </c>
      <c r="K14" s="18">
        <v>150</v>
      </c>
      <c r="L14" s="17"/>
      <c r="M14" s="18">
        <v>9</v>
      </c>
      <c r="N14" s="18">
        <v>250</v>
      </c>
      <c r="P14" s="2"/>
      <c r="Q14" s="5" t="s">
        <v>12</v>
      </c>
      <c r="R14" s="4">
        <v>3</v>
      </c>
      <c r="S14" s="4">
        <v>4</v>
      </c>
      <c r="T14" s="4">
        <v>7</v>
      </c>
      <c r="U14" s="4">
        <v>7</v>
      </c>
      <c r="V14" s="4">
        <v>7</v>
      </c>
      <c r="W14" s="4">
        <v>7</v>
      </c>
    </row>
    <row r="15" spans="2:23" ht="12.5" x14ac:dyDescent="0.25">
      <c r="B15" s="2" t="s">
        <v>29</v>
      </c>
      <c r="C15" s="5" t="s">
        <v>12</v>
      </c>
      <c r="D15" s="4">
        <v>14</v>
      </c>
      <c r="E15" s="4" t="s">
        <v>8</v>
      </c>
      <c r="F15" s="4" t="s">
        <v>30</v>
      </c>
      <c r="G15" s="4" t="s">
        <v>31</v>
      </c>
      <c r="I15" s="17" t="s">
        <v>32</v>
      </c>
      <c r="J15" s="18">
        <v>1</v>
      </c>
      <c r="K15" s="19">
        <f>(J15*K14)/J14</f>
        <v>16.666666666666668</v>
      </c>
      <c r="L15" s="17" t="s">
        <v>32</v>
      </c>
      <c r="M15" s="18">
        <v>1</v>
      </c>
      <c r="N15" s="19">
        <f>(M15*N14)/M14</f>
        <v>27.777777777777779</v>
      </c>
      <c r="P15" s="2"/>
      <c r="Q15" s="5" t="s">
        <v>33</v>
      </c>
      <c r="R15" s="20" t="s">
        <v>14</v>
      </c>
      <c r="S15" s="21" t="s">
        <v>34</v>
      </c>
      <c r="T15" s="21" t="s">
        <v>34</v>
      </c>
      <c r="U15" s="21" t="s">
        <v>35</v>
      </c>
      <c r="V15" s="21" t="s">
        <v>35</v>
      </c>
      <c r="W15" s="21" t="s">
        <v>35</v>
      </c>
    </row>
    <row r="16" spans="2:23" ht="12.5" x14ac:dyDescent="0.25">
      <c r="C16" s="5" t="s">
        <v>36</v>
      </c>
      <c r="D16" s="7" t="s">
        <v>37</v>
      </c>
      <c r="E16" s="8" t="s">
        <v>37</v>
      </c>
      <c r="F16" s="8" t="s">
        <v>37</v>
      </c>
      <c r="G16" s="8" t="s">
        <v>37</v>
      </c>
      <c r="I16" s="22"/>
      <c r="J16" s="23">
        <v>9</v>
      </c>
      <c r="K16" s="23">
        <v>150</v>
      </c>
      <c r="L16" s="22"/>
      <c r="M16" s="23">
        <v>9</v>
      </c>
      <c r="N16" s="23">
        <v>250</v>
      </c>
      <c r="P16" s="2"/>
      <c r="Q16" s="5" t="s">
        <v>38</v>
      </c>
      <c r="R16" s="20" t="s">
        <v>14</v>
      </c>
      <c r="S16" s="20">
        <v>150</v>
      </c>
      <c r="T16" s="20">
        <v>150</v>
      </c>
      <c r="U16" s="20">
        <v>250</v>
      </c>
      <c r="V16" s="24">
        <v>250</v>
      </c>
      <c r="W16" s="24">
        <v>250</v>
      </c>
    </row>
    <row r="17" spans="2:23" ht="12.5" x14ac:dyDescent="0.25">
      <c r="B17" s="2"/>
      <c r="C17" s="5" t="s">
        <v>38</v>
      </c>
      <c r="D17" s="7">
        <v>150</v>
      </c>
      <c r="E17" s="8" t="s">
        <v>39</v>
      </c>
      <c r="F17" s="8" t="s">
        <v>39</v>
      </c>
      <c r="G17" s="8" t="s">
        <v>39</v>
      </c>
      <c r="I17" s="22" t="s">
        <v>40</v>
      </c>
      <c r="J17" s="23">
        <v>8</v>
      </c>
      <c r="K17" s="25">
        <f>(J17*K16)/J16</f>
        <v>133.33333333333334</v>
      </c>
      <c r="L17" s="22" t="s">
        <v>40</v>
      </c>
      <c r="M17" s="23">
        <v>8</v>
      </c>
      <c r="N17" s="25">
        <f>(M17*N16)/M16</f>
        <v>222.22222222222223</v>
      </c>
      <c r="P17" s="2"/>
      <c r="Q17" s="26" t="s">
        <v>41</v>
      </c>
      <c r="R17" s="20" t="s">
        <v>14</v>
      </c>
      <c r="S17" s="20" t="s">
        <v>42</v>
      </c>
      <c r="T17" s="27" t="s">
        <v>42</v>
      </c>
      <c r="U17" s="27" t="s">
        <v>42</v>
      </c>
      <c r="V17" s="27" t="s">
        <v>42</v>
      </c>
      <c r="W17" s="27" t="s">
        <v>42</v>
      </c>
    </row>
    <row r="18" spans="2:23" ht="12.5" x14ac:dyDescent="0.25">
      <c r="B18" s="2"/>
      <c r="C18" s="5" t="s">
        <v>41</v>
      </c>
      <c r="D18" s="7" t="s">
        <v>43</v>
      </c>
      <c r="E18" s="4" t="s">
        <v>42</v>
      </c>
      <c r="F18" s="4" t="s">
        <v>42</v>
      </c>
      <c r="G18" s="4" t="s">
        <v>42</v>
      </c>
      <c r="P18" s="2"/>
      <c r="Q18" s="5" t="s">
        <v>44</v>
      </c>
      <c r="R18" s="28"/>
      <c r="S18" s="28"/>
      <c r="T18" s="21"/>
      <c r="U18" s="29" t="s">
        <v>45</v>
      </c>
      <c r="V18" s="29" t="s">
        <v>45</v>
      </c>
      <c r="W18" s="29" t="s">
        <v>45</v>
      </c>
    </row>
    <row r="19" spans="2:23" ht="12.5" x14ac:dyDescent="0.25">
      <c r="C19" s="5" t="s">
        <v>44</v>
      </c>
      <c r="D19" s="21">
        <v>17.132999999999999</v>
      </c>
      <c r="E19" s="21">
        <v>26.204000000000001</v>
      </c>
      <c r="F19" s="21">
        <v>26.204000000000001</v>
      </c>
      <c r="G19" s="21">
        <v>26.204000000000001</v>
      </c>
      <c r="P19" s="2"/>
      <c r="Q19" s="2"/>
      <c r="R19" s="30"/>
      <c r="S19" s="30"/>
      <c r="T19" s="30"/>
      <c r="U19" s="30"/>
      <c r="V19" s="30"/>
      <c r="W19" s="30"/>
    </row>
    <row r="20" spans="2:23" ht="12.5" x14ac:dyDescent="0.25">
      <c r="P20" s="2"/>
      <c r="Q20" s="2"/>
      <c r="R20" s="31"/>
      <c r="S20" s="31"/>
      <c r="T20" s="31"/>
      <c r="U20" s="31"/>
      <c r="V20" s="32"/>
      <c r="W20" s="32"/>
    </row>
    <row r="21" spans="2:23" ht="13" x14ac:dyDescent="0.3">
      <c r="B21" s="13" t="s">
        <v>46</v>
      </c>
      <c r="C21" s="14" t="s">
        <v>21</v>
      </c>
      <c r="D21" s="14" t="s">
        <v>27</v>
      </c>
      <c r="E21" s="14" t="s">
        <v>28</v>
      </c>
      <c r="F21" s="14" t="s">
        <v>28</v>
      </c>
      <c r="G21" s="14" t="s">
        <v>28</v>
      </c>
      <c r="J21" s="12" t="s">
        <v>18</v>
      </c>
      <c r="K21" s="12" t="s">
        <v>19</v>
      </c>
      <c r="M21" s="12" t="s">
        <v>18</v>
      </c>
      <c r="N21" s="12" t="s">
        <v>19</v>
      </c>
      <c r="P21" s="13" t="s">
        <v>47</v>
      </c>
      <c r="Q21" s="14" t="s">
        <v>21</v>
      </c>
      <c r="R21" s="15" t="s">
        <v>4</v>
      </c>
      <c r="S21" s="15" t="s">
        <v>5</v>
      </c>
      <c r="T21" s="15" t="s">
        <v>22</v>
      </c>
      <c r="U21" s="15" t="s">
        <v>23</v>
      </c>
      <c r="V21" s="15" t="s">
        <v>24</v>
      </c>
      <c r="W21" s="15" t="s">
        <v>25</v>
      </c>
    </row>
    <row r="22" spans="2:23" ht="12.5" x14ac:dyDescent="0.25">
      <c r="B22" s="2" t="s">
        <v>48</v>
      </c>
      <c r="C22" s="5" t="s">
        <v>12</v>
      </c>
      <c r="D22" s="4">
        <v>14</v>
      </c>
      <c r="E22" s="4" t="s">
        <v>8</v>
      </c>
      <c r="F22" s="4" t="s">
        <v>30</v>
      </c>
      <c r="G22" s="4" t="s">
        <v>31</v>
      </c>
      <c r="I22" s="17"/>
      <c r="J22" s="18">
        <v>9</v>
      </c>
      <c r="K22" s="18">
        <v>150</v>
      </c>
      <c r="L22" s="17"/>
      <c r="M22" s="18">
        <v>9</v>
      </c>
      <c r="N22" s="18">
        <v>250</v>
      </c>
      <c r="P22" s="2"/>
      <c r="Q22" s="5" t="s">
        <v>12</v>
      </c>
      <c r="R22" s="4">
        <v>3</v>
      </c>
      <c r="S22" s="4">
        <v>4</v>
      </c>
      <c r="T22" s="4">
        <v>7</v>
      </c>
      <c r="U22" s="4">
        <v>7</v>
      </c>
      <c r="V22" s="4">
        <v>7</v>
      </c>
      <c r="W22" s="4">
        <v>7</v>
      </c>
    </row>
    <row r="23" spans="2:23" ht="12.5" x14ac:dyDescent="0.25">
      <c r="B23" s="2"/>
      <c r="C23" s="5" t="s">
        <v>33</v>
      </c>
      <c r="D23" s="7" t="s">
        <v>37</v>
      </c>
      <c r="E23" s="8" t="s">
        <v>49</v>
      </c>
      <c r="F23" s="8" t="s">
        <v>49</v>
      </c>
      <c r="G23" s="8" t="s">
        <v>50</v>
      </c>
      <c r="I23" s="17" t="s">
        <v>32</v>
      </c>
      <c r="J23" s="18">
        <v>1</v>
      </c>
      <c r="K23" s="19">
        <f>(J23*K22)/J22</f>
        <v>16.666666666666668</v>
      </c>
      <c r="L23" s="17" t="s">
        <v>32</v>
      </c>
      <c r="M23" s="18">
        <v>1</v>
      </c>
      <c r="N23" s="19">
        <f>(M23*N22)/M22</f>
        <v>27.777777777777779</v>
      </c>
      <c r="Q23" s="5" t="s">
        <v>33</v>
      </c>
      <c r="R23" s="20" t="s">
        <v>14</v>
      </c>
      <c r="S23" s="21" t="s">
        <v>34</v>
      </c>
      <c r="T23" s="21" t="s">
        <v>34</v>
      </c>
      <c r="U23" s="21" t="s">
        <v>35</v>
      </c>
      <c r="V23" s="21" t="s">
        <v>35</v>
      </c>
      <c r="W23" s="21" t="s">
        <v>51</v>
      </c>
    </row>
    <row r="24" spans="2:23" ht="12.5" x14ac:dyDescent="0.25">
      <c r="B24" s="2"/>
      <c r="C24" s="5" t="s">
        <v>38</v>
      </c>
      <c r="D24" s="7">
        <v>150</v>
      </c>
      <c r="E24" s="8" t="s">
        <v>52</v>
      </c>
      <c r="F24" s="8" t="s">
        <v>52</v>
      </c>
      <c r="G24" s="8" t="s">
        <v>39</v>
      </c>
      <c r="I24" s="22"/>
      <c r="J24" s="23">
        <v>9</v>
      </c>
      <c r="K24" s="23">
        <v>150</v>
      </c>
      <c r="L24" s="22"/>
      <c r="M24" s="23">
        <v>9</v>
      </c>
      <c r="N24" s="23">
        <v>250</v>
      </c>
      <c r="Q24" s="5" t="s">
        <v>38</v>
      </c>
      <c r="R24" s="20" t="s">
        <v>14</v>
      </c>
      <c r="S24" s="20">
        <v>150</v>
      </c>
      <c r="T24" s="20">
        <v>150</v>
      </c>
      <c r="U24" s="20">
        <v>250</v>
      </c>
      <c r="V24" s="24">
        <v>250</v>
      </c>
      <c r="W24" s="24">
        <v>250</v>
      </c>
    </row>
    <row r="25" spans="2:23" ht="12.5" x14ac:dyDescent="0.25">
      <c r="B25" s="2"/>
      <c r="C25" s="5" t="s">
        <v>41</v>
      </c>
      <c r="D25" s="7" t="s">
        <v>43</v>
      </c>
      <c r="E25" s="4" t="s">
        <v>42</v>
      </c>
      <c r="F25" s="4" t="s">
        <v>42</v>
      </c>
      <c r="G25" s="4" t="s">
        <v>42</v>
      </c>
      <c r="I25" s="22" t="s">
        <v>40</v>
      </c>
      <c r="J25" s="23">
        <v>8</v>
      </c>
      <c r="K25" s="25">
        <f>(J25*K24)/J24</f>
        <v>133.33333333333334</v>
      </c>
      <c r="L25" s="22" t="s">
        <v>40</v>
      </c>
      <c r="M25" s="23">
        <v>8</v>
      </c>
      <c r="N25" s="25">
        <f>(M25*N24)/M24</f>
        <v>222.22222222222223</v>
      </c>
      <c r="Q25" s="5" t="s">
        <v>41</v>
      </c>
      <c r="R25" s="20" t="s">
        <v>14</v>
      </c>
      <c r="S25" s="20" t="s">
        <v>42</v>
      </c>
      <c r="T25" s="20" t="s">
        <v>42</v>
      </c>
      <c r="U25" s="20" t="s">
        <v>42</v>
      </c>
      <c r="V25" s="20" t="s">
        <v>42</v>
      </c>
      <c r="W25" s="20" t="s">
        <v>42</v>
      </c>
    </row>
    <row r="26" spans="2:23" ht="12.5" x14ac:dyDescent="0.25">
      <c r="C26" s="5" t="s">
        <v>44</v>
      </c>
      <c r="D26" s="21">
        <v>17.132999999999999</v>
      </c>
      <c r="E26" s="21">
        <v>32.258000000000003</v>
      </c>
      <c r="F26" s="21">
        <v>32.258000000000003</v>
      </c>
      <c r="G26" s="29">
        <v>230</v>
      </c>
      <c r="Q26" s="26" t="s">
        <v>44</v>
      </c>
      <c r="R26" s="28"/>
      <c r="S26" s="28"/>
      <c r="T26" s="33"/>
      <c r="U26" s="29" t="s">
        <v>45</v>
      </c>
      <c r="V26" s="29" t="s">
        <v>45</v>
      </c>
      <c r="W26" s="34">
        <v>250</v>
      </c>
    </row>
    <row r="27" spans="2:23" ht="12.5" x14ac:dyDescent="0.25">
      <c r="Q27" s="35"/>
      <c r="R27" s="36"/>
      <c r="S27" s="36"/>
      <c r="T27" s="36"/>
      <c r="U27" s="36"/>
      <c r="V27" s="36"/>
      <c r="W27" s="36"/>
    </row>
    <row r="28" spans="2:23" ht="13" x14ac:dyDescent="0.3">
      <c r="B28" s="37" t="s">
        <v>46</v>
      </c>
      <c r="C28" s="38" t="s">
        <v>21</v>
      </c>
      <c r="D28" s="38" t="s">
        <v>27</v>
      </c>
      <c r="E28" s="38" t="s">
        <v>28</v>
      </c>
      <c r="F28" s="38" t="s">
        <v>28</v>
      </c>
      <c r="G28" s="38" t="s">
        <v>28</v>
      </c>
      <c r="J28" s="12" t="s">
        <v>18</v>
      </c>
      <c r="K28" s="12" t="s">
        <v>19</v>
      </c>
      <c r="M28" s="12" t="s">
        <v>18</v>
      </c>
      <c r="N28" s="12" t="s">
        <v>19</v>
      </c>
      <c r="Q28" s="2"/>
      <c r="R28" s="31"/>
      <c r="S28" s="31"/>
      <c r="T28" s="31"/>
      <c r="U28" s="31"/>
      <c r="V28" s="32"/>
      <c r="W28" s="32"/>
    </row>
    <row r="29" spans="2:23" ht="12.5" x14ac:dyDescent="0.25">
      <c r="B29" s="39" t="s">
        <v>53</v>
      </c>
      <c r="C29" s="40" t="s">
        <v>12</v>
      </c>
      <c r="D29" s="41">
        <v>14</v>
      </c>
      <c r="E29" s="41" t="s">
        <v>8</v>
      </c>
      <c r="F29" s="41" t="s">
        <v>30</v>
      </c>
      <c r="G29" s="41" t="s">
        <v>31</v>
      </c>
      <c r="I29" s="17"/>
      <c r="J29" s="18">
        <v>9</v>
      </c>
      <c r="K29" s="18">
        <v>150</v>
      </c>
      <c r="L29" s="17"/>
      <c r="M29" s="18">
        <v>9</v>
      </c>
      <c r="N29" s="18">
        <v>290</v>
      </c>
      <c r="Q29" s="2"/>
      <c r="R29" s="31"/>
      <c r="S29" s="31"/>
      <c r="T29" s="31"/>
      <c r="U29" s="31"/>
      <c r="V29" s="32"/>
      <c r="W29" s="32"/>
    </row>
    <row r="30" spans="2:23" ht="12.5" x14ac:dyDescent="0.25">
      <c r="B30" s="42"/>
      <c r="C30" s="40" t="s">
        <v>33</v>
      </c>
      <c r="D30" s="41" t="s">
        <v>37</v>
      </c>
      <c r="E30" s="41" t="s">
        <v>54</v>
      </c>
      <c r="F30" s="41" t="s">
        <v>55</v>
      </c>
      <c r="G30" s="41" t="s">
        <v>55</v>
      </c>
      <c r="I30" s="17" t="s">
        <v>32</v>
      </c>
      <c r="J30" s="18">
        <v>1</v>
      </c>
      <c r="K30" s="19">
        <f>(J30*K29)/J29</f>
        <v>16.666666666666668</v>
      </c>
      <c r="L30" s="17" t="s">
        <v>32</v>
      </c>
      <c r="M30" s="18">
        <v>1</v>
      </c>
      <c r="N30" s="19">
        <f>(M30*N29)/M29</f>
        <v>32.222222222222221</v>
      </c>
      <c r="Q30" s="2"/>
      <c r="R30" s="31"/>
      <c r="S30" s="31"/>
      <c r="T30" s="31"/>
      <c r="U30" s="31"/>
      <c r="V30" s="32"/>
      <c r="W30" s="32"/>
    </row>
    <row r="31" spans="2:23" ht="12.5" x14ac:dyDescent="0.25">
      <c r="B31" s="42"/>
      <c r="C31" s="40" t="s">
        <v>38</v>
      </c>
      <c r="D31" s="41">
        <v>150</v>
      </c>
      <c r="E31" s="41" t="s">
        <v>52</v>
      </c>
      <c r="F31" s="41" t="s">
        <v>56</v>
      </c>
      <c r="G31" s="41" t="s">
        <v>56</v>
      </c>
      <c r="I31" s="22"/>
      <c r="J31" s="23">
        <v>9</v>
      </c>
      <c r="K31" s="23">
        <v>150</v>
      </c>
      <c r="L31" s="22"/>
      <c r="M31" s="23">
        <v>9</v>
      </c>
      <c r="N31" s="23">
        <v>290</v>
      </c>
      <c r="Q31" s="2"/>
      <c r="R31" s="31"/>
      <c r="S31" s="31"/>
      <c r="T31" s="31"/>
      <c r="U31" s="31"/>
      <c r="V31" s="32"/>
      <c r="W31" s="32"/>
    </row>
    <row r="32" spans="2:23" ht="12.5" x14ac:dyDescent="0.25">
      <c r="B32" s="42"/>
      <c r="C32" s="40" t="s">
        <v>41</v>
      </c>
      <c r="D32" s="41" t="s">
        <v>43</v>
      </c>
      <c r="E32" s="41" t="s">
        <v>42</v>
      </c>
      <c r="F32" s="41" t="s">
        <v>42</v>
      </c>
      <c r="G32" s="41" t="s">
        <v>42</v>
      </c>
      <c r="I32" s="22" t="s">
        <v>40</v>
      </c>
      <c r="J32" s="23">
        <v>8</v>
      </c>
      <c r="K32" s="25">
        <f>(J32*K31)/J31</f>
        <v>133.33333333333334</v>
      </c>
      <c r="L32" s="22" t="s">
        <v>40</v>
      </c>
      <c r="M32" s="23">
        <v>8</v>
      </c>
      <c r="N32" s="25">
        <f>(M32*N31)/M31</f>
        <v>257.77777777777777</v>
      </c>
    </row>
    <row r="33" spans="2:25" ht="12.5" x14ac:dyDescent="0.25">
      <c r="B33" s="42"/>
      <c r="C33" s="40" t="s">
        <v>44</v>
      </c>
      <c r="D33" s="43">
        <v>17.132999999999999</v>
      </c>
      <c r="E33" s="43">
        <v>32.258000000000003</v>
      </c>
      <c r="F33" s="43"/>
      <c r="G33" s="43">
        <v>230</v>
      </c>
    </row>
    <row r="35" spans="2:25" ht="18" x14ac:dyDescent="0.4">
      <c r="B35" s="11" t="s">
        <v>57</v>
      </c>
      <c r="R35" s="11" t="s">
        <v>57</v>
      </c>
    </row>
    <row r="36" spans="2:25" ht="13" x14ac:dyDescent="0.3">
      <c r="B36" s="16" t="s">
        <v>58</v>
      </c>
      <c r="C36" s="14" t="s">
        <v>21</v>
      </c>
      <c r="D36" s="14" t="s">
        <v>27</v>
      </c>
      <c r="E36" s="14" t="s">
        <v>28</v>
      </c>
      <c r="F36" s="14" t="s">
        <v>28</v>
      </c>
      <c r="J36" s="12" t="s">
        <v>18</v>
      </c>
      <c r="K36" s="12" t="s">
        <v>19</v>
      </c>
      <c r="M36" s="12" t="s">
        <v>18</v>
      </c>
      <c r="N36" s="12" t="s">
        <v>19</v>
      </c>
      <c r="P36" s="12" t="s">
        <v>18</v>
      </c>
      <c r="Q36" s="12" t="s">
        <v>19</v>
      </c>
      <c r="R36" s="16" t="s">
        <v>59</v>
      </c>
      <c r="S36" s="3" t="s">
        <v>21</v>
      </c>
      <c r="T36" s="44" t="s">
        <v>4</v>
      </c>
      <c r="U36" s="44" t="s">
        <v>5</v>
      </c>
      <c r="V36" s="44" t="s">
        <v>22</v>
      </c>
      <c r="W36" s="44" t="s">
        <v>60</v>
      </c>
      <c r="X36" s="44" t="s">
        <v>61</v>
      </c>
      <c r="Y36" s="44" t="s">
        <v>62</v>
      </c>
    </row>
    <row r="37" spans="2:25" ht="12.5" x14ac:dyDescent="0.25">
      <c r="B37" s="2" t="s">
        <v>53</v>
      </c>
      <c r="C37" s="5" t="s">
        <v>12</v>
      </c>
      <c r="D37" s="4">
        <v>21</v>
      </c>
      <c r="E37" s="4">
        <v>7</v>
      </c>
      <c r="F37" s="4">
        <v>19</v>
      </c>
      <c r="I37" s="17"/>
      <c r="J37" s="18">
        <v>4</v>
      </c>
      <c r="K37" s="18">
        <v>150</v>
      </c>
      <c r="L37" s="17"/>
      <c r="M37" s="18">
        <v>4</v>
      </c>
      <c r="N37" s="18">
        <v>300</v>
      </c>
      <c r="O37" s="17"/>
      <c r="P37" s="18">
        <v>2</v>
      </c>
      <c r="Q37" s="18">
        <v>450</v>
      </c>
      <c r="S37" s="5" t="s">
        <v>12</v>
      </c>
      <c r="T37" s="4">
        <v>3</v>
      </c>
      <c r="U37" s="4">
        <v>3</v>
      </c>
      <c r="V37" s="4">
        <v>9</v>
      </c>
      <c r="W37" s="4">
        <v>16</v>
      </c>
      <c r="X37" s="45">
        <v>14</v>
      </c>
      <c r="Y37" s="45">
        <v>2</v>
      </c>
    </row>
    <row r="38" spans="2:25" ht="12.5" x14ac:dyDescent="0.25">
      <c r="C38" s="5" t="s">
        <v>33</v>
      </c>
      <c r="D38" s="7" t="s">
        <v>63</v>
      </c>
      <c r="E38" s="8" t="s">
        <v>63</v>
      </c>
      <c r="F38" s="8" t="s">
        <v>64</v>
      </c>
      <c r="I38" s="17" t="s">
        <v>65</v>
      </c>
      <c r="J38" s="18">
        <v>3</v>
      </c>
      <c r="K38" s="19">
        <f>(J38*K37)/J37</f>
        <v>112.5</v>
      </c>
      <c r="L38" s="17" t="s">
        <v>65</v>
      </c>
      <c r="M38" s="18">
        <v>3</v>
      </c>
      <c r="N38" s="19">
        <f>(M38*N37)/M37</f>
        <v>225</v>
      </c>
      <c r="O38" s="17" t="s">
        <v>32</v>
      </c>
      <c r="P38" s="18">
        <v>1</v>
      </c>
      <c r="Q38" s="19">
        <f>(P38*Q37)/P37</f>
        <v>225</v>
      </c>
      <c r="S38" s="5" t="s">
        <v>33</v>
      </c>
      <c r="T38" s="45" t="s">
        <v>14</v>
      </c>
      <c r="U38" s="45" t="s">
        <v>66</v>
      </c>
      <c r="V38" s="45" t="s">
        <v>66</v>
      </c>
      <c r="W38" s="45" t="s">
        <v>66</v>
      </c>
      <c r="X38" s="45" t="s">
        <v>67</v>
      </c>
      <c r="Y38" s="45" t="s">
        <v>67</v>
      </c>
    </row>
    <row r="39" spans="2:25" ht="12.5" x14ac:dyDescent="0.25">
      <c r="C39" s="5" t="s">
        <v>38</v>
      </c>
      <c r="D39" s="7" t="s">
        <v>68</v>
      </c>
      <c r="E39" s="4">
        <v>250</v>
      </c>
      <c r="F39" s="8">
        <v>450</v>
      </c>
      <c r="I39" s="22"/>
      <c r="J39" s="23">
        <v>4</v>
      </c>
      <c r="K39" s="23">
        <v>150</v>
      </c>
      <c r="L39" s="22"/>
      <c r="M39" s="23">
        <v>4</v>
      </c>
      <c r="N39" s="23">
        <v>300</v>
      </c>
      <c r="O39" s="22"/>
      <c r="P39" s="23">
        <v>2</v>
      </c>
      <c r="Q39" s="23">
        <v>450</v>
      </c>
      <c r="S39" s="5" t="s">
        <v>38</v>
      </c>
      <c r="T39" s="4" t="s">
        <v>14</v>
      </c>
      <c r="U39" s="4">
        <v>150</v>
      </c>
      <c r="V39" s="45">
        <v>150</v>
      </c>
      <c r="W39" s="4">
        <v>300</v>
      </c>
      <c r="X39" s="4">
        <v>450</v>
      </c>
      <c r="Y39" s="4">
        <v>450</v>
      </c>
    </row>
    <row r="40" spans="2:25" ht="12.5" x14ac:dyDescent="0.25">
      <c r="C40" s="5" t="s">
        <v>41</v>
      </c>
      <c r="D40" s="7" t="s">
        <v>43</v>
      </c>
      <c r="E40" s="4" t="s">
        <v>69</v>
      </c>
      <c r="F40" s="4" t="s">
        <v>69</v>
      </c>
      <c r="I40" s="22" t="s">
        <v>70</v>
      </c>
      <c r="J40" s="23">
        <v>1</v>
      </c>
      <c r="K40" s="25">
        <f>(J40*K39)/J39</f>
        <v>37.5</v>
      </c>
      <c r="L40" s="22" t="s">
        <v>70</v>
      </c>
      <c r="M40" s="23">
        <v>1</v>
      </c>
      <c r="N40" s="25">
        <f>(M40*N39)/M39</f>
        <v>75</v>
      </c>
      <c r="O40" s="22" t="s">
        <v>70</v>
      </c>
      <c r="P40" s="23">
        <v>1</v>
      </c>
      <c r="Q40" s="25">
        <f>(P40*Q39)/P39</f>
        <v>225</v>
      </c>
      <c r="S40" s="5" t="s">
        <v>41</v>
      </c>
      <c r="T40" s="4" t="s">
        <v>14</v>
      </c>
      <c r="U40" s="46" t="s">
        <v>69</v>
      </c>
      <c r="V40" s="47" t="s">
        <v>69</v>
      </c>
      <c r="W40" s="47" t="s">
        <v>69</v>
      </c>
      <c r="X40" s="47" t="s">
        <v>69</v>
      </c>
      <c r="Y40" s="47" t="s">
        <v>69</v>
      </c>
    </row>
    <row r="41" spans="2:25" ht="12.5" x14ac:dyDescent="0.25">
      <c r="C41" s="5" t="s">
        <v>44</v>
      </c>
      <c r="D41" s="21">
        <v>136.13999999999999</v>
      </c>
      <c r="E41" s="21">
        <v>227.23</v>
      </c>
      <c r="F41" s="21">
        <v>255.255</v>
      </c>
      <c r="S41" s="5" t="s">
        <v>44</v>
      </c>
      <c r="T41" s="21" t="s">
        <v>14</v>
      </c>
      <c r="U41" s="21">
        <v>150</v>
      </c>
      <c r="V41" s="21">
        <v>150</v>
      </c>
      <c r="W41" s="21" t="s">
        <v>71</v>
      </c>
      <c r="X41" s="21" t="s">
        <v>72</v>
      </c>
      <c r="Y41" s="21" t="s">
        <v>72</v>
      </c>
    </row>
    <row r="43" spans="2:25" ht="13" x14ac:dyDescent="0.3">
      <c r="B43" s="13" t="s">
        <v>73</v>
      </c>
      <c r="C43" s="14" t="s">
        <v>21</v>
      </c>
      <c r="D43" s="14" t="s">
        <v>27</v>
      </c>
      <c r="E43" s="14" t="s">
        <v>28</v>
      </c>
      <c r="F43" s="14" t="s">
        <v>28</v>
      </c>
      <c r="J43" s="12" t="s">
        <v>18</v>
      </c>
      <c r="K43" s="12" t="s">
        <v>19</v>
      </c>
      <c r="M43" s="12" t="s">
        <v>18</v>
      </c>
      <c r="N43" s="12" t="s">
        <v>19</v>
      </c>
      <c r="P43" s="12" t="s">
        <v>18</v>
      </c>
      <c r="Q43" s="12" t="s">
        <v>19</v>
      </c>
      <c r="R43" s="13" t="s">
        <v>20</v>
      </c>
      <c r="S43" s="3" t="s">
        <v>21</v>
      </c>
      <c r="T43" s="44" t="s">
        <v>4</v>
      </c>
      <c r="U43" s="44" t="s">
        <v>5</v>
      </c>
      <c r="V43" s="44" t="s">
        <v>22</v>
      </c>
      <c r="W43" s="44" t="s">
        <v>60</v>
      </c>
      <c r="X43" s="44" t="s">
        <v>61</v>
      </c>
      <c r="Y43" s="44" t="s">
        <v>62</v>
      </c>
    </row>
    <row r="44" spans="2:25" ht="12.5" x14ac:dyDescent="0.25">
      <c r="B44" s="2" t="s">
        <v>74</v>
      </c>
      <c r="C44" s="5" t="s">
        <v>12</v>
      </c>
      <c r="D44" s="4">
        <v>21</v>
      </c>
      <c r="E44" s="4">
        <v>7</v>
      </c>
      <c r="F44" s="4">
        <v>19</v>
      </c>
      <c r="I44" s="17"/>
      <c r="J44" s="18">
        <v>4</v>
      </c>
      <c r="K44" s="18">
        <v>150</v>
      </c>
      <c r="L44" s="17"/>
      <c r="M44" s="18">
        <v>11</v>
      </c>
      <c r="N44" s="18">
        <v>300</v>
      </c>
      <c r="O44" s="17"/>
      <c r="P44" s="18">
        <v>11</v>
      </c>
      <c r="Q44" s="18">
        <v>300</v>
      </c>
      <c r="R44" s="2"/>
      <c r="S44" s="5" t="s">
        <v>12</v>
      </c>
      <c r="T44" s="4">
        <v>3</v>
      </c>
      <c r="U44" s="4">
        <v>3</v>
      </c>
      <c r="V44" s="4">
        <v>9</v>
      </c>
      <c r="W44" s="4">
        <v>16</v>
      </c>
      <c r="X44" s="45">
        <v>14</v>
      </c>
      <c r="Y44" s="45">
        <v>2</v>
      </c>
    </row>
    <row r="45" spans="2:25" ht="12.5" x14ac:dyDescent="0.25">
      <c r="C45" s="5" t="s">
        <v>33</v>
      </c>
      <c r="D45" s="7" t="s">
        <v>63</v>
      </c>
      <c r="E45" s="8" t="s">
        <v>63</v>
      </c>
      <c r="F45" s="8" t="s">
        <v>63</v>
      </c>
      <c r="I45" s="17" t="s">
        <v>65</v>
      </c>
      <c r="J45" s="18">
        <v>3</v>
      </c>
      <c r="K45" s="19">
        <f>(J45*K44)/J44</f>
        <v>112.5</v>
      </c>
      <c r="L45" s="17" t="s">
        <v>75</v>
      </c>
      <c r="M45" s="18">
        <v>10</v>
      </c>
      <c r="N45" s="19">
        <f>(M45*N44)/M44</f>
        <v>272.72727272727275</v>
      </c>
      <c r="O45" s="17" t="s">
        <v>75</v>
      </c>
      <c r="P45" s="18">
        <v>10</v>
      </c>
      <c r="Q45" s="19">
        <f>(P45*Q44)/P44</f>
        <v>272.72727272727275</v>
      </c>
      <c r="R45" s="2"/>
      <c r="S45" s="5" t="s">
        <v>33</v>
      </c>
      <c r="T45" s="45" t="s">
        <v>14</v>
      </c>
      <c r="U45" s="45" t="s">
        <v>66</v>
      </c>
      <c r="V45" s="45" t="s">
        <v>66</v>
      </c>
      <c r="W45" s="45" t="s">
        <v>66</v>
      </c>
      <c r="X45" s="45" t="s">
        <v>76</v>
      </c>
      <c r="Y45" s="45" t="s">
        <v>76</v>
      </c>
    </row>
    <row r="46" spans="2:25" ht="12.5" x14ac:dyDescent="0.25">
      <c r="C46" s="5" t="s">
        <v>38</v>
      </c>
      <c r="D46" s="7" t="s">
        <v>68</v>
      </c>
      <c r="E46" s="4">
        <v>250</v>
      </c>
      <c r="F46" s="4" t="s">
        <v>77</v>
      </c>
      <c r="I46" s="22"/>
      <c r="J46" s="23">
        <v>4</v>
      </c>
      <c r="K46" s="23">
        <v>150</v>
      </c>
      <c r="L46" s="22"/>
      <c r="M46" s="23">
        <v>11</v>
      </c>
      <c r="N46" s="23">
        <v>300</v>
      </c>
      <c r="O46" s="22"/>
      <c r="P46" s="23">
        <v>11</v>
      </c>
      <c r="Q46" s="23">
        <v>300</v>
      </c>
      <c r="R46" s="2"/>
      <c r="S46" s="5" t="s">
        <v>38</v>
      </c>
      <c r="T46" s="4" t="s">
        <v>14</v>
      </c>
      <c r="U46" s="4">
        <v>150</v>
      </c>
      <c r="V46" s="45">
        <v>150</v>
      </c>
      <c r="W46" s="4">
        <v>300</v>
      </c>
      <c r="X46" s="4">
        <v>300</v>
      </c>
      <c r="Y46" s="4">
        <v>300</v>
      </c>
    </row>
    <row r="47" spans="2:25" ht="12.5" x14ac:dyDescent="0.25">
      <c r="C47" s="5" t="s">
        <v>41</v>
      </c>
      <c r="D47" s="7" t="s">
        <v>43</v>
      </c>
      <c r="E47" s="4" t="s">
        <v>69</v>
      </c>
      <c r="F47" s="8" t="s">
        <v>78</v>
      </c>
      <c r="I47" s="22" t="s">
        <v>70</v>
      </c>
      <c r="J47" s="23">
        <v>1</v>
      </c>
      <c r="K47" s="25">
        <f>(J47*K46)/J46</f>
        <v>37.5</v>
      </c>
      <c r="L47" s="22" t="s">
        <v>70</v>
      </c>
      <c r="M47" s="23">
        <v>1</v>
      </c>
      <c r="N47" s="25">
        <f>(M47*N46)/M46</f>
        <v>27.272727272727273</v>
      </c>
      <c r="O47" s="22" t="s">
        <v>70</v>
      </c>
      <c r="P47" s="23">
        <v>1</v>
      </c>
      <c r="Q47" s="25">
        <f>(P47*Q46)/P46</f>
        <v>27.272727272727273</v>
      </c>
      <c r="R47" s="2"/>
      <c r="S47" s="5" t="s">
        <v>41</v>
      </c>
      <c r="T47" s="4" t="s">
        <v>14</v>
      </c>
      <c r="U47" s="46" t="s">
        <v>69</v>
      </c>
      <c r="V47" s="47" t="s">
        <v>69</v>
      </c>
      <c r="W47" s="47" t="s">
        <v>69</v>
      </c>
      <c r="X47" s="48" t="s">
        <v>78</v>
      </c>
      <c r="Y47" s="48" t="s">
        <v>78</v>
      </c>
    </row>
    <row r="48" spans="2:25" ht="12.5" x14ac:dyDescent="0.25">
      <c r="C48" s="5" t="s">
        <v>44</v>
      </c>
      <c r="D48" s="21">
        <v>136.13999999999999</v>
      </c>
      <c r="E48" s="21">
        <v>227.23</v>
      </c>
      <c r="F48" s="21">
        <v>273.27</v>
      </c>
      <c r="S48" s="5" t="s">
        <v>44</v>
      </c>
      <c r="T48" s="21" t="s">
        <v>14</v>
      </c>
      <c r="U48" s="21">
        <v>150</v>
      </c>
      <c r="V48" s="21">
        <v>150</v>
      </c>
      <c r="W48" s="21" t="s">
        <v>71</v>
      </c>
      <c r="X48" s="21" t="s">
        <v>79</v>
      </c>
      <c r="Y48" s="21" t="s">
        <v>79</v>
      </c>
    </row>
    <row r="50" spans="2:26" ht="13" x14ac:dyDescent="0.3">
      <c r="B50" s="49" t="s">
        <v>80</v>
      </c>
      <c r="C50" s="14" t="s">
        <v>21</v>
      </c>
      <c r="D50" s="14" t="s">
        <v>27</v>
      </c>
      <c r="E50" s="14" t="s">
        <v>28</v>
      </c>
      <c r="F50" s="14" t="s">
        <v>28</v>
      </c>
      <c r="G50" s="14" t="s">
        <v>28</v>
      </c>
      <c r="J50" s="12" t="s">
        <v>18</v>
      </c>
      <c r="K50" s="12" t="s">
        <v>19</v>
      </c>
      <c r="M50" s="12" t="s">
        <v>18</v>
      </c>
      <c r="N50" s="12" t="s">
        <v>19</v>
      </c>
      <c r="P50" s="12"/>
      <c r="Q50" s="12"/>
      <c r="R50" s="49" t="s">
        <v>47</v>
      </c>
      <c r="S50" s="3" t="s">
        <v>21</v>
      </c>
      <c r="T50" s="44" t="s">
        <v>4</v>
      </c>
      <c r="U50" s="44" t="s">
        <v>5</v>
      </c>
      <c r="V50" s="44" t="s">
        <v>22</v>
      </c>
      <c r="W50" s="44" t="s">
        <v>60</v>
      </c>
      <c r="X50" s="44" t="s">
        <v>61</v>
      </c>
      <c r="Y50" s="44" t="s">
        <v>61</v>
      </c>
      <c r="Z50" s="44" t="s">
        <v>62</v>
      </c>
    </row>
    <row r="51" spans="2:26" ht="12.5" x14ac:dyDescent="0.25">
      <c r="B51" s="2" t="s">
        <v>81</v>
      </c>
      <c r="C51" s="5" t="s">
        <v>12</v>
      </c>
      <c r="D51" s="4">
        <v>21</v>
      </c>
      <c r="E51" s="4">
        <v>7</v>
      </c>
      <c r="F51" s="4">
        <v>12</v>
      </c>
      <c r="G51" s="4">
        <v>7</v>
      </c>
      <c r="I51" s="17"/>
      <c r="J51" s="18">
        <v>4</v>
      </c>
      <c r="K51" s="18">
        <v>150</v>
      </c>
      <c r="L51" s="17"/>
      <c r="M51" s="18">
        <v>4</v>
      </c>
      <c r="N51" s="18">
        <v>300</v>
      </c>
      <c r="O51" s="17"/>
      <c r="P51" s="18"/>
      <c r="Q51" s="18"/>
      <c r="R51" s="2"/>
      <c r="S51" s="5" t="s">
        <v>12</v>
      </c>
      <c r="T51" s="4">
        <v>3</v>
      </c>
      <c r="U51" s="4">
        <v>3</v>
      </c>
      <c r="V51" s="4">
        <v>9</v>
      </c>
      <c r="W51" s="4">
        <v>16</v>
      </c>
      <c r="X51" s="45">
        <v>9</v>
      </c>
      <c r="Y51" s="45">
        <v>5</v>
      </c>
      <c r="Z51" s="45">
        <v>2</v>
      </c>
    </row>
    <row r="52" spans="2:26" ht="12.5" x14ac:dyDescent="0.25">
      <c r="C52" s="5" t="s">
        <v>33</v>
      </c>
      <c r="D52" s="6" t="s">
        <v>82</v>
      </c>
      <c r="E52" s="8" t="s">
        <v>82</v>
      </c>
      <c r="F52" s="6" t="s">
        <v>82</v>
      </c>
      <c r="G52" s="8" t="s">
        <v>82</v>
      </c>
      <c r="I52" s="17" t="s">
        <v>65</v>
      </c>
      <c r="J52" s="18">
        <v>3</v>
      </c>
      <c r="K52" s="19">
        <f>(J52*K51)/J51</f>
        <v>112.5</v>
      </c>
      <c r="L52" s="17" t="s">
        <v>65</v>
      </c>
      <c r="M52" s="18">
        <v>3</v>
      </c>
      <c r="N52" s="19">
        <f>(M52*N51)/M51</f>
        <v>225</v>
      </c>
      <c r="O52" s="17" t="s">
        <v>32</v>
      </c>
      <c r="P52" s="18"/>
      <c r="Q52" s="19"/>
      <c r="R52" s="2"/>
      <c r="S52" s="5" t="s">
        <v>33</v>
      </c>
      <c r="T52" s="45" t="s">
        <v>14</v>
      </c>
      <c r="U52" s="45" t="s">
        <v>66</v>
      </c>
      <c r="V52" s="45" t="s">
        <v>66</v>
      </c>
      <c r="W52" s="45" t="s">
        <v>66</v>
      </c>
      <c r="X52" s="45" t="s">
        <v>66</v>
      </c>
      <c r="Y52" s="45" t="s">
        <v>66</v>
      </c>
      <c r="Z52" s="45" t="s">
        <v>66</v>
      </c>
    </row>
    <row r="53" spans="2:26" ht="12.5" x14ac:dyDescent="0.25">
      <c r="C53" s="5" t="s">
        <v>38</v>
      </c>
      <c r="D53" s="7" t="s">
        <v>68</v>
      </c>
      <c r="E53" s="4">
        <v>250</v>
      </c>
      <c r="F53" s="45" t="s">
        <v>77</v>
      </c>
      <c r="G53" s="4" t="s">
        <v>83</v>
      </c>
      <c r="I53" s="22"/>
      <c r="J53" s="23">
        <v>4</v>
      </c>
      <c r="K53" s="23">
        <v>150</v>
      </c>
      <c r="L53" s="22"/>
      <c r="M53" s="23">
        <v>4</v>
      </c>
      <c r="N53" s="23">
        <v>300</v>
      </c>
      <c r="O53" s="22"/>
      <c r="P53" s="23"/>
      <c r="Q53" s="23"/>
      <c r="R53" s="2"/>
      <c r="S53" s="5" t="s">
        <v>38</v>
      </c>
      <c r="T53" s="4" t="s">
        <v>14</v>
      </c>
      <c r="U53" s="4">
        <v>150</v>
      </c>
      <c r="V53" s="45">
        <v>150</v>
      </c>
      <c r="W53" s="4">
        <v>300</v>
      </c>
      <c r="X53" s="4">
        <v>300</v>
      </c>
      <c r="Y53" s="4">
        <v>300</v>
      </c>
      <c r="Z53" s="4">
        <v>300</v>
      </c>
    </row>
    <row r="54" spans="2:26" ht="12.5" x14ac:dyDescent="0.25">
      <c r="C54" s="5" t="s">
        <v>41</v>
      </c>
      <c r="D54" s="7" t="s">
        <v>43</v>
      </c>
      <c r="E54" s="4" t="s">
        <v>69</v>
      </c>
      <c r="F54" s="6" t="s">
        <v>69</v>
      </c>
      <c r="G54" s="8" t="s">
        <v>78</v>
      </c>
      <c r="I54" s="22" t="s">
        <v>70</v>
      </c>
      <c r="J54" s="23">
        <v>1</v>
      </c>
      <c r="K54" s="25">
        <f>(J54*K53)/J53</f>
        <v>37.5</v>
      </c>
      <c r="L54" s="22" t="s">
        <v>70</v>
      </c>
      <c r="M54" s="23">
        <v>1</v>
      </c>
      <c r="N54" s="25">
        <f>(M54*N53)/M53</f>
        <v>75</v>
      </c>
      <c r="O54" s="22" t="s">
        <v>40</v>
      </c>
      <c r="P54" s="23"/>
      <c r="Q54" s="25"/>
      <c r="R54" s="2"/>
      <c r="S54" s="5" t="s">
        <v>41</v>
      </c>
      <c r="T54" s="4" t="s">
        <v>14</v>
      </c>
      <c r="U54" s="50" t="s">
        <v>69</v>
      </c>
      <c r="V54" s="51" t="s">
        <v>69</v>
      </c>
      <c r="W54" s="51" t="s">
        <v>69</v>
      </c>
      <c r="X54" s="51" t="s">
        <v>69</v>
      </c>
      <c r="Y54" s="48" t="s">
        <v>78</v>
      </c>
      <c r="Z54" s="48" t="s">
        <v>78</v>
      </c>
    </row>
    <row r="55" spans="2:26" ht="12.5" x14ac:dyDescent="0.25">
      <c r="C55" s="5" t="s">
        <v>44</v>
      </c>
      <c r="D55" s="21">
        <v>113.38</v>
      </c>
      <c r="E55" s="21">
        <v>188.63</v>
      </c>
      <c r="F55" s="21">
        <v>225.75</v>
      </c>
      <c r="G55" s="21">
        <v>225.75</v>
      </c>
      <c r="S55" s="5" t="s">
        <v>44</v>
      </c>
      <c r="T55" s="21" t="s">
        <v>14</v>
      </c>
      <c r="U55" s="21">
        <v>150</v>
      </c>
      <c r="V55" s="21">
        <v>150</v>
      </c>
      <c r="W55" s="21" t="s">
        <v>71</v>
      </c>
      <c r="X55" s="10" t="s">
        <v>71</v>
      </c>
      <c r="Y55" s="10" t="s">
        <v>71</v>
      </c>
      <c r="Z55" s="10" t="s">
        <v>71</v>
      </c>
    </row>
    <row r="57" spans="2:26" ht="18" x14ac:dyDescent="0.4">
      <c r="B57" s="52" t="s">
        <v>84</v>
      </c>
      <c r="M57" s="52" t="s">
        <v>85</v>
      </c>
      <c r="N57" s="2"/>
      <c r="O57" s="2"/>
      <c r="P57" s="2"/>
      <c r="Q57" s="2"/>
      <c r="R57" s="2"/>
      <c r="S57" s="2"/>
    </row>
    <row r="58" spans="2:26" ht="13" x14ac:dyDescent="0.3">
      <c r="B58" s="53" t="s">
        <v>58</v>
      </c>
      <c r="C58" s="14" t="s">
        <v>21</v>
      </c>
      <c r="D58" s="14" t="s">
        <v>86</v>
      </c>
      <c r="E58" s="14" t="s">
        <v>27</v>
      </c>
      <c r="F58" s="14" t="s">
        <v>28</v>
      </c>
      <c r="G58" s="14" t="s">
        <v>28</v>
      </c>
      <c r="J58" s="12" t="s">
        <v>18</v>
      </c>
      <c r="K58" s="12" t="s">
        <v>19</v>
      </c>
      <c r="M58" s="53" t="s">
        <v>59</v>
      </c>
      <c r="N58" s="3" t="s">
        <v>21</v>
      </c>
      <c r="O58" s="3" t="s">
        <v>87</v>
      </c>
      <c r="P58" s="3" t="s">
        <v>4</v>
      </c>
      <c r="Q58" s="3" t="s">
        <v>88</v>
      </c>
      <c r="R58" s="3" t="s">
        <v>89</v>
      </c>
      <c r="S58" s="3" t="s">
        <v>28</v>
      </c>
    </row>
    <row r="59" spans="2:26" ht="12.5" x14ac:dyDescent="0.25">
      <c r="B59" s="2" t="s">
        <v>74</v>
      </c>
      <c r="C59" s="5" t="s">
        <v>12</v>
      </c>
      <c r="D59" s="4">
        <v>1</v>
      </c>
      <c r="E59" s="4">
        <v>10</v>
      </c>
      <c r="F59" s="4">
        <v>7</v>
      </c>
      <c r="G59" s="4">
        <v>21</v>
      </c>
      <c r="I59" s="17"/>
      <c r="J59" s="18">
        <v>13</v>
      </c>
      <c r="K59" s="18">
        <v>200</v>
      </c>
      <c r="M59" s="2"/>
      <c r="N59" s="5" t="s">
        <v>12</v>
      </c>
      <c r="O59" s="4">
        <v>5</v>
      </c>
      <c r="P59" s="4">
        <v>2</v>
      </c>
      <c r="Q59" s="4">
        <v>7</v>
      </c>
      <c r="R59" s="4">
        <v>5</v>
      </c>
      <c r="S59" s="4">
        <v>21</v>
      </c>
    </row>
    <row r="60" spans="2:26" ht="12.5" x14ac:dyDescent="0.25">
      <c r="C60" s="5" t="s">
        <v>90</v>
      </c>
      <c r="D60" s="5"/>
      <c r="E60" s="4" t="s">
        <v>91</v>
      </c>
      <c r="F60" s="4" t="s">
        <v>91</v>
      </c>
      <c r="G60" s="8" t="s">
        <v>92</v>
      </c>
      <c r="I60" s="17" t="s">
        <v>32</v>
      </c>
      <c r="J60" s="18">
        <v>1</v>
      </c>
      <c r="K60" s="19">
        <f>(J60*K59)/J59</f>
        <v>15.384615384615385</v>
      </c>
      <c r="M60" s="2"/>
      <c r="N60" s="5" t="s">
        <v>33</v>
      </c>
      <c r="O60" s="4" t="s">
        <v>14</v>
      </c>
      <c r="P60" s="4" t="s">
        <v>66</v>
      </c>
      <c r="Q60" s="4" t="s">
        <v>66</v>
      </c>
      <c r="R60" s="4" t="s">
        <v>66</v>
      </c>
      <c r="S60" s="54">
        <v>0.05</v>
      </c>
    </row>
    <row r="61" spans="2:26" ht="12.5" x14ac:dyDescent="0.25">
      <c r="C61" s="5" t="s">
        <v>38</v>
      </c>
      <c r="D61" s="5"/>
      <c r="E61" s="4" t="s">
        <v>93</v>
      </c>
      <c r="F61" s="4" t="s">
        <v>94</v>
      </c>
      <c r="G61" s="8" t="s">
        <v>95</v>
      </c>
      <c r="I61" s="22"/>
      <c r="J61" s="23">
        <v>13</v>
      </c>
      <c r="K61" s="23">
        <v>200</v>
      </c>
      <c r="M61" s="2"/>
      <c r="N61" s="5" t="s">
        <v>38</v>
      </c>
      <c r="O61" s="5"/>
      <c r="P61" s="4">
        <v>140</v>
      </c>
      <c r="Q61" s="4">
        <v>150</v>
      </c>
      <c r="R61" s="4">
        <v>200</v>
      </c>
      <c r="S61" s="4">
        <v>200</v>
      </c>
    </row>
    <row r="62" spans="2:26" ht="12.5" x14ac:dyDescent="0.25">
      <c r="C62" s="5" t="s">
        <v>41</v>
      </c>
      <c r="D62" s="5"/>
      <c r="E62" s="7" t="s">
        <v>43</v>
      </c>
      <c r="F62" s="4" t="s">
        <v>69</v>
      </c>
      <c r="G62" s="4" t="s">
        <v>42</v>
      </c>
      <c r="I62" s="22" t="s">
        <v>96</v>
      </c>
      <c r="J62" s="23">
        <v>12</v>
      </c>
      <c r="K62" s="25">
        <f>(J62*K61)/J61</f>
        <v>184.61538461538461</v>
      </c>
      <c r="M62" s="2"/>
      <c r="N62" s="5" t="s">
        <v>41</v>
      </c>
      <c r="O62" s="5"/>
      <c r="P62" s="7" t="s">
        <v>43</v>
      </c>
      <c r="Q62" s="50" t="s">
        <v>97</v>
      </c>
      <c r="R62" s="50" t="s">
        <v>69</v>
      </c>
      <c r="S62" s="48" t="s">
        <v>42</v>
      </c>
    </row>
    <row r="63" spans="2:26" ht="12.5" x14ac:dyDescent="0.25">
      <c r="C63" s="5" t="s">
        <v>44</v>
      </c>
      <c r="D63" s="21"/>
      <c r="E63" s="21" t="s">
        <v>98</v>
      </c>
      <c r="F63" s="21" t="s">
        <v>98</v>
      </c>
      <c r="G63" s="21">
        <v>15.185</v>
      </c>
      <c r="N63" s="5" t="s">
        <v>44</v>
      </c>
      <c r="O63" s="21"/>
      <c r="P63" s="21" t="s">
        <v>99</v>
      </c>
      <c r="Q63" s="21" t="s">
        <v>99</v>
      </c>
      <c r="R63" s="10" t="s">
        <v>100</v>
      </c>
      <c r="S63" s="21" t="s">
        <v>101</v>
      </c>
      <c r="T63" t="s">
        <v>211</v>
      </c>
    </row>
    <row r="65" spans="2:21" ht="13" x14ac:dyDescent="0.3">
      <c r="B65" s="53" t="s">
        <v>58</v>
      </c>
      <c r="C65" s="14" t="s">
        <v>21</v>
      </c>
      <c r="D65" s="14" t="s">
        <v>86</v>
      </c>
      <c r="E65" s="14" t="s">
        <v>27</v>
      </c>
      <c r="F65" s="14" t="s">
        <v>28</v>
      </c>
      <c r="G65" s="14" t="s">
        <v>28</v>
      </c>
      <c r="J65" s="12" t="s">
        <v>18</v>
      </c>
      <c r="K65" s="12" t="s">
        <v>19</v>
      </c>
      <c r="M65" s="53" t="s">
        <v>20</v>
      </c>
      <c r="N65" s="3" t="s">
        <v>21</v>
      </c>
      <c r="O65" s="3" t="s">
        <v>87</v>
      </c>
      <c r="P65" s="3" t="s">
        <v>4</v>
      </c>
      <c r="Q65" s="3" t="s">
        <v>88</v>
      </c>
      <c r="R65" s="3" t="s">
        <v>89</v>
      </c>
      <c r="S65" s="3" t="s">
        <v>28</v>
      </c>
      <c r="T65" s="3" t="s">
        <v>28</v>
      </c>
    </row>
    <row r="66" spans="2:21" ht="12.5" x14ac:dyDescent="0.25">
      <c r="B66" s="2" t="s">
        <v>81</v>
      </c>
      <c r="C66" s="5" t="s">
        <v>12</v>
      </c>
      <c r="D66" s="4">
        <v>1</v>
      </c>
      <c r="E66" s="4">
        <v>10</v>
      </c>
      <c r="F66" s="4">
        <v>7</v>
      </c>
      <c r="G66" s="4">
        <v>21</v>
      </c>
      <c r="I66" s="17"/>
      <c r="J66" s="18">
        <v>13</v>
      </c>
      <c r="K66" s="18">
        <v>200</v>
      </c>
      <c r="M66" s="2"/>
      <c r="N66" s="5" t="s">
        <v>12</v>
      </c>
      <c r="O66" s="4">
        <v>5</v>
      </c>
      <c r="P66" s="4">
        <v>2</v>
      </c>
      <c r="Q66" s="4">
        <v>7</v>
      </c>
      <c r="R66" s="4">
        <v>5</v>
      </c>
      <c r="S66" s="4">
        <v>7</v>
      </c>
      <c r="T66" s="4">
        <v>14</v>
      </c>
    </row>
    <row r="67" spans="2:21" ht="12.5" x14ac:dyDescent="0.25">
      <c r="C67" s="5" t="s">
        <v>90</v>
      </c>
      <c r="D67" s="5"/>
      <c r="E67" s="4" t="s">
        <v>91</v>
      </c>
      <c r="F67" s="4" t="s">
        <v>91</v>
      </c>
      <c r="G67" s="8" t="s">
        <v>102</v>
      </c>
      <c r="I67" s="17" t="s">
        <v>32</v>
      </c>
      <c r="J67" s="18">
        <v>12</v>
      </c>
      <c r="K67" s="19">
        <f>(J67*K66)/J66</f>
        <v>184.61538461538461</v>
      </c>
      <c r="M67" s="2"/>
      <c r="N67" s="5" t="s">
        <v>33</v>
      </c>
      <c r="O67" s="4" t="s">
        <v>14</v>
      </c>
      <c r="P67" s="4" t="s">
        <v>66</v>
      </c>
      <c r="Q67" s="4" t="s">
        <v>66</v>
      </c>
      <c r="R67" s="4" t="s">
        <v>66</v>
      </c>
      <c r="S67" s="54">
        <v>0.05</v>
      </c>
      <c r="T67" s="4" t="s">
        <v>103</v>
      </c>
    </row>
    <row r="68" spans="2:21" ht="12.5" x14ac:dyDescent="0.25">
      <c r="C68" s="5" t="s">
        <v>38</v>
      </c>
      <c r="D68" s="5"/>
      <c r="E68" s="4" t="s">
        <v>93</v>
      </c>
      <c r="F68" s="4" t="s">
        <v>94</v>
      </c>
      <c r="G68" s="8" t="s">
        <v>95</v>
      </c>
      <c r="I68" s="22"/>
      <c r="J68" s="23">
        <v>13</v>
      </c>
      <c r="K68" s="23">
        <v>200</v>
      </c>
      <c r="M68" s="2"/>
      <c r="N68" s="5" t="s">
        <v>38</v>
      </c>
      <c r="O68" s="5"/>
      <c r="P68" s="4">
        <v>140</v>
      </c>
      <c r="Q68" s="4">
        <v>150</v>
      </c>
      <c r="R68" s="4">
        <v>200</v>
      </c>
      <c r="S68" s="4">
        <v>200</v>
      </c>
      <c r="T68" s="4" t="s">
        <v>104</v>
      </c>
    </row>
    <row r="69" spans="2:21" ht="12.5" x14ac:dyDescent="0.25">
      <c r="C69" s="5" t="s">
        <v>41</v>
      </c>
      <c r="D69" s="5"/>
      <c r="E69" s="7" t="s">
        <v>43</v>
      </c>
      <c r="F69" s="4" t="s">
        <v>69</v>
      </c>
      <c r="G69" s="4" t="s">
        <v>42</v>
      </c>
      <c r="I69" s="22" t="s">
        <v>40</v>
      </c>
      <c r="J69" s="23">
        <v>1</v>
      </c>
      <c r="K69" s="25">
        <f>(J69*K68)/J68</f>
        <v>15.384615384615385</v>
      </c>
      <c r="M69" s="2"/>
      <c r="N69" s="5" t="s">
        <v>41</v>
      </c>
      <c r="O69" s="5"/>
      <c r="P69" s="7" t="s">
        <v>43</v>
      </c>
      <c r="Q69" s="50" t="s">
        <v>97</v>
      </c>
      <c r="R69" s="50" t="s">
        <v>69</v>
      </c>
      <c r="S69" s="48" t="s">
        <v>42</v>
      </c>
      <c r="T69" s="48" t="s">
        <v>42</v>
      </c>
    </row>
    <row r="70" spans="2:21" ht="12.5" x14ac:dyDescent="0.25">
      <c r="C70" s="5" t="s">
        <v>44</v>
      </c>
      <c r="D70" s="21"/>
      <c r="E70" s="21" t="s">
        <v>98</v>
      </c>
      <c r="F70" s="21" t="s">
        <v>98</v>
      </c>
      <c r="G70" s="21">
        <v>185.15</v>
      </c>
      <c r="N70" s="5" t="s">
        <v>44</v>
      </c>
      <c r="O70" s="28"/>
      <c r="P70" s="21" t="s">
        <v>99</v>
      </c>
      <c r="Q70" s="21" t="s">
        <v>99</v>
      </c>
      <c r="R70" s="10" t="s">
        <v>100</v>
      </c>
      <c r="S70" s="21" t="s">
        <v>101</v>
      </c>
      <c r="T70" s="21" t="s">
        <v>105</v>
      </c>
      <c r="U70" t="s">
        <v>211</v>
      </c>
    </row>
    <row r="72" spans="2:21" ht="13" x14ac:dyDescent="0.3">
      <c r="J72" s="12" t="s">
        <v>18</v>
      </c>
      <c r="K72" s="12" t="s">
        <v>19</v>
      </c>
    </row>
    <row r="73" spans="2:21" ht="12.5" x14ac:dyDescent="0.25">
      <c r="J73" s="18">
        <v>4</v>
      </c>
      <c r="K73" s="18">
        <v>150</v>
      </c>
    </row>
    <row r="74" spans="2:21" ht="12.5" x14ac:dyDescent="0.25">
      <c r="I74" s="17" t="s">
        <v>65</v>
      </c>
      <c r="J74" s="18">
        <v>3</v>
      </c>
      <c r="K74" s="19">
        <f>(J74*K73)/J73</f>
        <v>112.5</v>
      </c>
    </row>
    <row r="75" spans="2:21" ht="12.5" x14ac:dyDescent="0.25">
      <c r="I75" s="22"/>
      <c r="J75" s="23">
        <v>4</v>
      </c>
      <c r="K75" s="23">
        <v>150</v>
      </c>
    </row>
    <row r="76" spans="2:21" ht="12.5" x14ac:dyDescent="0.25">
      <c r="I76" s="22" t="s">
        <v>70</v>
      </c>
      <c r="J76" s="23">
        <v>1</v>
      </c>
      <c r="K76" s="25">
        <f>(J76*K75)/J75</f>
        <v>37.5</v>
      </c>
    </row>
  </sheetData>
  <mergeCells count="7">
    <mergeCell ref="G5:G6"/>
    <mergeCell ref="H5:K5"/>
    <mergeCell ref="B3:B4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64"/>
  <sheetViews>
    <sheetView showGridLines="0" tabSelected="1" workbookViewId="0">
      <selection activeCell="A8" sqref="A8"/>
    </sheetView>
  </sheetViews>
  <sheetFormatPr defaultColWidth="12.6328125" defaultRowHeight="15.75" customHeight="1" x14ac:dyDescent="0.25"/>
  <cols>
    <col min="1" max="1" width="19.81640625" customWidth="1"/>
    <col min="2" max="2" width="17.08984375" customWidth="1"/>
    <col min="3" max="3" width="15.1796875" customWidth="1"/>
    <col min="10" max="10" width="13.1796875" customWidth="1"/>
    <col min="12" max="12" width="13.08984375" customWidth="1"/>
    <col min="15" max="15" width="16.36328125" customWidth="1"/>
    <col min="16" max="16" width="14.36328125" customWidth="1"/>
  </cols>
  <sheetData>
    <row r="1" spans="1:24" ht="16.5" x14ac:dyDescent="0.35">
      <c r="A1" s="1" t="s">
        <v>106</v>
      </c>
    </row>
    <row r="2" spans="1:24" ht="13.2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1:24" ht="16.75" customHeight="1" x14ac:dyDescent="0.3">
      <c r="B3" s="104" t="s">
        <v>2</v>
      </c>
      <c r="C3" s="104" t="s">
        <v>3</v>
      </c>
      <c r="D3" s="104" t="s">
        <v>4</v>
      </c>
      <c r="E3" s="104" t="s">
        <v>5</v>
      </c>
      <c r="F3" s="104" t="s">
        <v>6</v>
      </c>
      <c r="G3" s="106" t="s">
        <v>7</v>
      </c>
      <c r="H3" s="107"/>
      <c r="I3" s="107"/>
      <c r="J3" s="108"/>
      <c r="L3" s="96" t="s">
        <v>107</v>
      </c>
      <c r="M3" s="98"/>
      <c r="N3" s="2"/>
      <c r="O3" s="96" t="s">
        <v>108</v>
      </c>
      <c r="P3" s="98"/>
    </row>
    <row r="4" spans="1:24" ht="15.5" x14ac:dyDescent="0.35">
      <c r="B4" s="105"/>
      <c r="C4" s="105"/>
      <c r="D4" s="105"/>
      <c r="E4" s="105"/>
      <c r="F4" s="105"/>
      <c r="G4" s="93" t="s">
        <v>8</v>
      </c>
      <c r="H4" s="93" t="s">
        <v>9</v>
      </c>
      <c r="I4" s="93" t="s">
        <v>10</v>
      </c>
      <c r="J4" s="93" t="s">
        <v>11</v>
      </c>
      <c r="L4" s="3" t="s">
        <v>109</v>
      </c>
      <c r="M4" s="3" t="s">
        <v>110</v>
      </c>
      <c r="N4" s="2"/>
      <c r="O4" s="3" t="s">
        <v>109</v>
      </c>
      <c r="P4" s="3" t="s">
        <v>110</v>
      </c>
    </row>
    <row r="5" spans="1:24" ht="12.5" x14ac:dyDescent="0.25">
      <c r="B5" s="4">
        <v>1</v>
      </c>
      <c r="C5" s="5" t="s">
        <v>12</v>
      </c>
      <c r="D5" s="6">
        <v>3</v>
      </c>
      <c r="E5" s="6">
        <v>4</v>
      </c>
      <c r="F5" s="6">
        <v>7</v>
      </c>
      <c r="G5" s="4">
        <v>7</v>
      </c>
      <c r="H5" s="4">
        <v>7</v>
      </c>
      <c r="I5" s="4">
        <v>7</v>
      </c>
      <c r="J5" s="4">
        <v>7</v>
      </c>
      <c r="L5" s="5" t="s">
        <v>111</v>
      </c>
      <c r="M5" s="4">
        <v>3800</v>
      </c>
      <c r="N5" s="2"/>
      <c r="O5" s="5" t="s">
        <v>111</v>
      </c>
      <c r="P5" s="4">
        <v>6632</v>
      </c>
    </row>
    <row r="6" spans="1:24" ht="12.5" x14ac:dyDescent="0.25">
      <c r="B6" s="4">
        <v>2</v>
      </c>
      <c r="C6" s="5" t="s">
        <v>13</v>
      </c>
      <c r="D6" s="7" t="s">
        <v>14</v>
      </c>
      <c r="E6" s="7">
        <v>150</v>
      </c>
      <c r="F6" s="7">
        <v>300</v>
      </c>
      <c r="G6" s="4">
        <v>300</v>
      </c>
      <c r="H6" s="4">
        <v>300</v>
      </c>
      <c r="I6" s="4">
        <v>300</v>
      </c>
      <c r="J6" s="4">
        <v>300</v>
      </c>
      <c r="L6" s="5" t="s">
        <v>112</v>
      </c>
      <c r="M6" s="4">
        <v>92</v>
      </c>
      <c r="N6" s="2"/>
      <c r="O6" s="5" t="s">
        <v>112</v>
      </c>
      <c r="P6" s="4">
        <v>92</v>
      </c>
    </row>
    <row r="7" spans="1:24" ht="12.5" x14ac:dyDescent="0.25">
      <c r="B7" s="4">
        <v>3</v>
      </c>
      <c r="C7" s="5" t="s">
        <v>15</v>
      </c>
      <c r="D7" s="7" t="s">
        <v>14</v>
      </c>
      <c r="E7" s="7">
        <v>24</v>
      </c>
      <c r="F7" s="7">
        <v>24</v>
      </c>
      <c r="G7" s="7">
        <v>12</v>
      </c>
      <c r="H7" s="7">
        <v>12</v>
      </c>
      <c r="I7" s="7">
        <v>12</v>
      </c>
      <c r="J7" s="7">
        <v>12</v>
      </c>
      <c r="L7" s="5" t="s">
        <v>113</v>
      </c>
      <c r="M7" s="4">
        <v>100</v>
      </c>
      <c r="N7" s="2"/>
      <c r="O7" s="5" t="s">
        <v>113</v>
      </c>
      <c r="P7" s="4">
        <v>100</v>
      </c>
    </row>
    <row r="8" spans="1:24" ht="12.5" x14ac:dyDescent="0.25">
      <c r="B8" s="4">
        <v>4</v>
      </c>
      <c r="C8" s="5" t="s">
        <v>114</v>
      </c>
      <c r="D8" s="5"/>
      <c r="E8" s="5"/>
      <c r="F8" s="5"/>
      <c r="G8" s="4" t="s">
        <v>115</v>
      </c>
      <c r="H8" s="4" t="s">
        <v>116</v>
      </c>
      <c r="I8" s="4" t="s">
        <v>116</v>
      </c>
      <c r="J8" s="4" t="s">
        <v>116</v>
      </c>
      <c r="L8" s="5" t="s">
        <v>117</v>
      </c>
      <c r="M8" s="4">
        <v>3232</v>
      </c>
      <c r="N8" s="2"/>
      <c r="O8" s="5" t="s">
        <v>117</v>
      </c>
      <c r="P8" s="4">
        <v>1000</v>
      </c>
    </row>
    <row r="9" spans="1:24" ht="12.5" x14ac:dyDescent="0.25">
      <c r="B9" s="4">
        <v>5</v>
      </c>
      <c r="C9" s="5" t="s">
        <v>118</v>
      </c>
      <c r="D9" s="5"/>
      <c r="E9" s="5"/>
      <c r="F9" s="5"/>
      <c r="G9" s="4" t="s">
        <v>119</v>
      </c>
      <c r="H9" s="4" t="s">
        <v>120</v>
      </c>
      <c r="I9" s="4" t="s">
        <v>121</v>
      </c>
      <c r="J9" s="4" t="s">
        <v>121</v>
      </c>
      <c r="L9" s="5" t="s">
        <v>122</v>
      </c>
      <c r="M9" s="4">
        <v>620</v>
      </c>
      <c r="N9" s="2"/>
      <c r="O9" s="5" t="s">
        <v>122</v>
      </c>
      <c r="P9" s="4">
        <v>576</v>
      </c>
    </row>
    <row r="10" spans="1:24" ht="12.5" x14ac:dyDescent="0.25">
      <c r="B10" s="4">
        <v>6</v>
      </c>
      <c r="C10" s="5" t="s">
        <v>123</v>
      </c>
      <c r="D10" s="5"/>
      <c r="E10" s="5"/>
      <c r="F10" s="5"/>
      <c r="G10" s="4" t="s">
        <v>124</v>
      </c>
      <c r="H10" s="4" t="s">
        <v>124</v>
      </c>
      <c r="I10" s="4" t="s">
        <v>124</v>
      </c>
      <c r="J10" s="4" t="s">
        <v>124</v>
      </c>
      <c r="L10" s="5" t="s">
        <v>125</v>
      </c>
      <c r="M10" s="4">
        <v>2000</v>
      </c>
      <c r="N10" s="2"/>
      <c r="O10" s="5" t="s">
        <v>125</v>
      </c>
      <c r="P10" s="4">
        <v>2000</v>
      </c>
    </row>
    <row r="11" spans="1:24" ht="14" x14ac:dyDescent="0.3">
      <c r="B11" s="4">
        <v>7</v>
      </c>
      <c r="C11" s="5" t="s">
        <v>126</v>
      </c>
      <c r="D11" s="55" t="s">
        <v>127</v>
      </c>
      <c r="E11" s="5"/>
      <c r="F11" s="5"/>
      <c r="G11" s="5"/>
      <c r="H11" s="5"/>
      <c r="I11" s="5"/>
      <c r="J11" s="5"/>
      <c r="L11" s="56" t="s">
        <v>128</v>
      </c>
      <c r="M11" s="8">
        <v>80</v>
      </c>
      <c r="N11" s="2"/>
      <c r="O11" s="56" t="s">
        <v>128</v>
      </c>
      <c r="P11" s="8">
        <v>80</v>
      </c>
    </row>
    <row r="12" spans="1:24" ht="12.5" x14ac:dyDescent="0.25">
      <c r="B12" s="4">
        <v>8</v>
      </c>
      <c r="C12" s="5" t="s">
        <v>129</v>
      </c>
      <c r="D12" s="5" t="s">
        <v>130</v>
      </c>
      <c r="E12" s="5"/>
      <c r="F12" s="5"/>
      <c r="G12" s="5"/>
      <c r="H12" s="5"/>
      <c r="I12" s="5"/>
      <c r="J12" s="5"/>
    </row>
    <row r="14" spans="1:24" ht="18" x14ac:dyDescent="0.4">
      <c r="A14" s="11" t="s">
        <v>17</v>
      </c>
      <c r="I14" s="11" t="s">
        <v>57</v>
      </c>
      <c r="J14" s="57"/>
      <c r="L14" s="57"/>
      <c r="R14" s="52" t="s">
        <v>85</v>
      </c>
    </row>
    <row r="15" spans="1:24" ht="13" x14ac:dyDescent="0.25">
      <c r="A15" s="13" t="s">
        <v>20</v>
      </c>
      <c r="B15" s="14" t="s">
        <v>21</v>
      </c>
      <c r="C15" s="15" t="s">
        <v>4</v>
      </c>
      <c r="D15" s="15" t="s">
        <v>5</v>
      </c>
      <c r="E15" s="15" t="s">
        <v>22</v>
      </c>
      <c r="F15" s="15" t="s">
        <v>23</v>
      </c>
      <c r="G15" s="15" t="s">
        <v>24</v>
      </c>
      <c r="H15" s="15" t="s">
        <v>25</v>
      </c>
      <c r="I15" s="16" t="s">
        <v>59</v>
      </c>
      <c r="J15" s="14" t="s">
        <v>21</v>
      </c>
      <c r="K15" s="15" t="s">
        <v>4</v>
      </c>
      <c r="L15" s="15" t="s">
        <v>5</v>
      </c>
      <c r="M15" s="15" t="s">
        <v>22</v>
      </c>
      <c r="N15" s="15" t="s">
        <v>60</v>
      </c>
      <c r="O15" s="15" t="s">
        <v>61</v>
      </c>
      <c r="P15" s="15" t="s">
        <v>62</v>
      </c>
      <c r="R15" s="53" t="s">
        <v>59</v>
      </c>
      <c r="S15" s="14" t="s">
        <v>21</v>
      </c>
      <c r="T15" s="14" t="s">
        <v>87</v>
      </c>
      <c r="U15" s="14" t="s">
        <v>4</v>
      </c>
      <c r="V15" s="14" t="s">
        <v>88</v>
      </c>
      <c r="W15" s="14" t="s">
        <v>89</v>
      </c>
      <c r="X15" s="14" t="s">
        <v>28</v>
      </c>
    </row>
    <row r="16" spans="1:24" ht="13" x14ac:dyDescent="0.25">
      <c r="A16" s="2"/>
      <c r="B16" s="5" t="s">
        <v>12</v>
      </c>
      <c r="C16" s="4">
        <v>3</v>
      </c>
      <c r="D16" s="4">
        <v>4</v>
      </c>
      <c r="E16" s="4">
        <v>7</v>
      </c>
      <c r="F16" s="4">
        <v>7</v>
      </c>
      <c r="G16" s="4">
        <v>7</v>
      </c>
      <c r="H16" s="4">
        <v>7</v>
      </c>
      <c r="I16" s="2"/>
      <c r="J16" s="5" t="s">
        <v>12</v>
      </c>
      <c r="K16" s="4">
        <v>3</v>
      </c>
      <c r="L16" s="4">
        <v>3</v>
      </c>
      <c r="M16" s="4">
        <v>9</v>
      </c>
      <c r="N16" s="4">
        <v>16</v>
      </c>
      <c r="O16" s="45">
        <v>14</v>
      </c>
      <c r="P16" s="45">
        <v>2</v>
      </c>
      <c r="R16" s="2"/>
      <c r="S16" s="5" t="s">
        <v>12</v>
      </c>
      <c r="T16" s="14">
        <v>5</v>
      </c>
      <c r="U16" s="21">
        <v>2</v>
      </c>
      <c r="V16" s="4">
        <v>7</v>
      </c>
      <c r="W16" s="4">
        <v>5</v>
      </c>
      <c r="X16" s="4">
        <v>21</v>
      </c>
    </row>
    <row r="17" spans="1:25" ht="12.5" x14ac:dyDescent="0.25">
      <c r="A17" s="2"/>
      <c r="B17" s="5" t="s">
        <v>33</v>
      </c>
      <c r="C17" s="20" t="s">
        <v>14</v>
      </c>
      <c r="D17" s="21" t="s">
        <v>34</v>
      </c>
      <c r="E17" s="21" t="s">
        <v>34</v>
      </c>
      <c r="F17" s="21" t="s">
        <v>35</v>
      </c>
      <c r="G17" s="21" t="s">
        <v>35</v>
      </c>
      <c r="H17" s="21" t="s">
        <v>35</v>
      </c>
      <c r="J17" s="5" t="s">
        <v>33</v>
      </c>
      <c r="K17" s="58" t="s">
        <v>14</v>
      </c>
      <c r="L17" s="58" t="s">
        <v>66</v>
      </c>
      <c r="M17" s="58" t="s">
        <v>66</v>
      </c>
      <c r="N17" s="58" t="s">
        <v>66</v>
      </c>
      <c r="O17" s="58" t="s">
        <v>67</v>
      </c>
      <c r="P17" s="58" t="s">
        <v>67</v>
      </c>
      <c r="S17" s="5" t="s">
        <v>33</v>
      </c>
      <c r="T17" s="4" t="s">
        <v>14</v>
      </c>
      <c r="U17" s="21" t="s">
        <v>66</v>
      </c>
      <c r="V17" s="21" t="s">
        <v>66</v>
      </c>
      <c r="W17" s="21" t="s">
        <v>66</v>
      </c>
      <c r="X17" s="59">
        <v>0.05</v>
      </c>
    </row>
    <row r="18" spans="1:25" ht="12.5" x14ac:dyDescent="0.25">
      <c r="A18" s="2"/>
      <c r="B18" s="5" t="s">
        <v>38</v>
      </c>
      <c r="C18" s="20" t="s">
        <v>14</v>
      </c>
      <c r="D18" s="20">
        <v>150</v>
      </c>
      <c r="E18" s="20">
        <v>150</v>
      </c>
      <c r="F18" s="20">
        <v>250</v>
      </c>
      <c r="G18" s="24">
        <v>250</v>
      </c>
      <c r="H18" s="24">
        <v>250</v>
      </c>
      <c r="J18" s="5" t="s">
        <v>38</v>
      </c>
      <c r="K18" s="20" t="s">
        <v>14</v>
      </c>
      <c r="L18" s="20">
        <v>150</v>
      </c>
      <c r="M18" s="58">
        <v>150</v>
      </c>
      <c r="N18" s="20">
        <v>300</v>
      </c>
      <c r="O18" s="20">
        <v>450</v>
      </c>
      <c r="P18" s="20">
        <v>450</v>
      </c>
      <c r="S18" s="5" t="s">
        <v>38</v>
      </c>
      <c r="T18" s="4"/>
      <c r="U18" s="21">
        <v>140</v>
      </c>
      <c r="V18" s="4">
        <v>150</v>
      </c>
      <c r="W18" s="4">
        <v>200</v>
      </c>
      <c r="X18" s="20">
        <v>200</v>
      </c>
    </row>
    <row r="19" spans="1:25" ht="12.5" x14ac:dyDescent="0.25">
      <c r="A19" s="2"/>
      <c r="B19" s="5" t="s">
        <v>41</v>
      </c>
      <c r="C19" s="20" t="s">
        <v>14</v>
      </c>
      <c r="D19" s="20" t="s">
        <v>42</v>
      </c>
      <c r="E19" s="20" t="s">
        <v>42</v>
      </c>
      <c r="F19" s="20" t="s">
        <v>42</v>
      </c>
      <c r="G19" s="20" t="s">
        <v>42</v>
      </c>
      <c r="H19" s="20" t="s">
        <v>42</v>
      </c>
      <c r="J19" s="5" t="s">
        <v>41</v>
      </c>
      <c r="K19" s="20" t="s">
        <v>14</v>
      </c>
      <c r="L19" s="20" t="s">
        <v>69</v>
      </c>
      <c r="M19" s="58" t="s">
        <v>69</v>
      </c>
      <c r="N19" s="58" t="s">
        <v>69</v>
      </c>
      <c r="O19" s="58" t="s">
        <v>69</v>
      </c>
      <c r="P19" s="58" t="s">
        <v>69</v>
      </c>
      <c r="S19" s="5" t="s">
        <v>41</v>
      </c>
      <c r="T19" s="4"/>
      <c r="U19" s="20" t="s">
        <v>43</v>
      </c>
      <c r="V19" s="20" t="s">
        <v>97</v>
      </c>
      <c r="W19" s="4" t="s">
        <v>69</v>
      </c>
      <c r="X19" s="4" t="s">
        <v>42</v>
      </c>
    </row>
    <row r="20" spans="1:25" ht="12.5" x14ac:dyDescent="0.25">
      <c r="A20" s="2"/>
      <c r="B20" s="5" t="s">
        <v>118</v>
      </c>
      <c r="C20" s="20" t="s">
        <v>14</v>
      </c>
      <c r="D20" s="20" t="s">
        <v>14</v>
      </c>
      <c r="E20" s="20">
        <v>0.8</v>
      </c>
      <c r="F20" s="20">
        <v>2.2000000000000002</v>
      </c>
      <c r="G20" s="20">
        <v>2.2000000000000002</v>
      </c>
      <c r="H20" s="20">
        <v>2.2000000000000002</v>
      </c>
      <c r="J20" s="5" t="s">
        <v>118</v>
      </c>
      <c r="K20" s="20" t="s">
        <v>14</v>
      </c>
      <c r="L20" s="20" t="s">
        <v>14</v>
      </c>
      <c r="M20" s="20">
        <v>1.2</v>
      </c>
      <c r="N20" s="20">
        <v>1.8</v>
      </c>
      <c r="O20" s="20">
        <v>1.8</v>
      </c>
      <c r="P20" s="20">
        <v>1.8</v>
      </c>
      <c r="S20" s="5" t="s">
        <v>118</v>
      </c>
      <c r="T20" s="4"/>
      <c r="U20" s="21"/>
      <c r="V20" s="4" t="s">
        <v>131</v>
      </c>
      <c r="W20" s="4" t="s">
        <v>131</v>
      </c>
      <c r="X20" s="4" t="s">
        <v>132</v>
      </c>
    </row>
    <row r="21" spans="1:25" ht="12.5" x14ac:dyDescent="0.25">
      <c r="A21" s="2"/>
      <c r="B21" s="5" t="s">
        <v>123</v>
      </c>
      <c r="C21" s="20" t="s">
        <v>14</v>
      </c>
      <c r="D21" s="20" t="s">
        <v>14</v>
      </c>
      <c r="E21" s="20" t="s">
        <v>133</v>
      </c>
      <c r="F21" s="20" t="s">
        <v>133</v>
      </c>
      <c r="G21" s="20" t="s">
        <v>133</v>
      </c>
      <c r="H21" s="20" t="s">
        <v>133</v>
      </c>
      <c r="J21" s="5" t="s">
        <v>123</v>
      </c>
      <c r="K21" s="20" t="s">
        <v>14</v>
      </c>
      <c r="L21" s="20" t="s">
        <v>14</v>
      </c>
      <c r="M21" s="20">
        <v>6</v>
      </c>
      <c r="N21" s="20">
        <v>6</v>
      </c>
      <c r="O21" s="20">
        <v>6</v>
      </c>
      <c r="P21" s="20">
        <v>6</v>
      </c>
      <c r="S21" s="5" t="s">
        <v>123</v>
      </c>
      <c r="T21" s="4"/>
      <c r="U21" s="21"/>
      <c r="V21" s="4" t="s">
        <v>134</v>
      </c>
      <c r="W21" s="4" t="s">
        <v>134</v>
      </c>
      <c r="X21" s="4" t="s">
        <v>134</v>
      </c>
    </row>
    <row r="22" spans="1:25" ht="12.5" x14ac:dyDescent="0.25">
      <c r="A22" s="2"/>
      <c r="B22" s="5" t="s">
        <v>135</v>
      </c>
      <c r="C22" s="60" t="s">
        <v>136</v>
      </c>
      <c r="D22" s="60"/>
      <c r="E22" s="60"/>
      <c r="F22" s="60"/>
      <c r="G22" s="61"/>
      <c r="H22" s="61"/>
      <c r="J22" s="5" t="s">
        <v>135</v>
      </c>
      <c r="K22" s="5" t="s">
        <v>136</v>
      </c>
      <c r="L22" s="5"/>
      <c r="M22" s="5"/>
      <c r="N22" s="5"/>
      <c r="O22" s="28"/>
      <c r="P22" s="28"/>
      <c r="S22" s="5" t="s">
        <v>135</v>
      </c>
      <c r="T22" s="5" t="s">
        <v>136</v>
      </c>
      <c r="U22" s="5"/>
      <c r="V22" s="5"/>
      <c r="W22" s="28"/>
      <c r="X22" s="5"/>
    </row>
    <row r="23" spans="1:25" ht="12.5" x14ac:dyDescent="0.25">
      <c r="A23" s="2"/>
      <c r="B23" s="5" t="s">
        <v>137</v>
      </c>
      <c r="C23" s="60" t="s">
        <v>138</v>
      </c>
      <c r="D23" s="60"/>
      <c r="E23" s="60"/>
      <c r="F23" s="60"/>
      <c r="G23" s="61"/>
      <c r="H23" s="61"/>
      <c r="J23" s="5" t="s">
        <v>137</v>
      </c>
      <c r="K23" s="5" t="s">
        <v>138</v>
      </c>
      <c r="L23" s="5"/>
      <c r="M23" s="5"/>
      <c r="N23" s="5"/>
      <c r="O23" s="28"/>
      <c r="P23" s="28"/>
      <c r="S23" s="5" t="s">
        <v>137</v>
      </c>
      <c r="T23" s="5" t="s">
        <v>138</v>
      </c>
      <c r="U23" s="5"/>
      <c r="V23" s="5"/>
      <c r="W23" s="28"/>
      <c r="X23" s="5"/>
    </row>
    <row r="24" spans="1:25" ht="12.5" x14ac:dyDescent="0.25">
      <c r="A24" s="2"/>
      <c r="B24" s="5" t="s">
        <v>139</v>
      </c>
      <c r="C24" s="60" t="s">
        <v>140</v>
      </c>
      <c r="D24" s="60"/>
      <c r="E24" s="60"/>
      <c r="F24" s="60"/>
      <c r="G24" s="61"/>
      <c r="H24" s="61"/>
      <c r="J24" s="5" t="s">
        <v>139</v>
      </c>
      <c r="K24" s="5" t="s">
        <v>140</v>
      </c>
      <c r="L24" s="5"/>
      <c r="M24" s="5"/>
      <c r="N24" s="5"/>
      <c r="O24" s="28"/>
      <c r="P24" s="28"/>
      <c r="S24" s="5" t="s">
        <v>139</v>
      </c>
      <c r="T24" s="5" t="s">
        <v>141</v>
      </c>
      <c r="U24" s="5"/>
      <c r="V24" s="5"/>
      <c r="W24" s="28"/>
      <c r="X24" s="5"/>
    </row>
    <row r="25" spans="1:25" ht="12.5" x14ac:dyDescent="0.25">
      <c r="A25" s="2"/>
      <c r="B25" s="5" t="s">
        <v>142</v>
      </c>
      <c r="C25" s="60" t="s">
        <v>143</v>
      </c>
      <c r="D25" s="60"/>
      <c r="E25" s="60"/>
      <c r="F25" s="60"/>
      <c r="G25" s="61"/>
      <c r="H25" s="61"/>
      <c r="J25" s="5" t="s">
        <v>142</v>
      </c>
      <c r="K25" s="5" t="s">
        <v>143</v>
      </c>
      <c r="L25" s="5"/>
      <c r="M25" s="5"/>
      <c r="N25" s="5"/>
      <c r="O25" s="28"/>
      <c r="P25" s="28"/>
      <c r="S25" s="5" t="s">
        <v>142</v>
      </c>
      <c r="T25" s="5" t="s">
        <v>144</v>
      </c>
      <c r="U25" s="5"/>
      <c r="V25" s="5"/>
      <c r="W25" s="28"/>
      <c r="X25" s="5"/>
    </row>
    <row r="26" spans="1:25" ht="12.5" x14ac:dyDescent="0.25">
      <c r="A26" s="2"/>
      <c r="B26" s="2"/>
      <c r="C26" s="2"/>
      <c r="D26" s="2"/>
      <c r="E26" s="2"/>
      <c r="F26" s="2"/>
      <c r="S26" s="2"/>
      <c r="T26" s="2"/>
      <c r="U26" s="2"/>
      <c r="V26" s="2"/>
      <c r="W26" s="2"/>
    </row>
    <row r="27" spans="1:25" ht="22.5" customHeight="1" x14ac:dyDescent="0.25">
      <c r="A27" s="13" t="s">
        <v>47</v>
      </c>
      <c r="B27" s="14" t="s">
        <v>21</v>
      </c>
      <c r="C27" s="15" t="s">
        <v>4</v>
      </c>
      <c r="D27" s="15" t="s">
        <v>5</v>
      </c>
      <c r="E27" s="15" t="s">
        <v>22</v>
      </c>
      <c r="F27" s="15" t="s">
        <v>23</v>
      </c>
      <c r="G27" s="15" t="s">
        <v>24</v>
      </c>
      <c r="H27" s="15" t="s">
        <v>25</v>
      </c>
      <c r="I27" s="13" t="s">
        <v>20</v>
      </c>
      <c r="J27" s="14" t="s">
        <v>21</v>
      </c>
      <c r="K27" s="15" t="s">
        <v>4</v>
      </c>
      <c r="L27" s="15" t="s">
        <v>5</v>
      </c>
      <c r="M27" s="15" t="s">
        <v>22</v>
      </c>
      <c r="N27" s="15" t="s">
        <v>60</v>
      </c>
      <c r="O27" s="15" t="s">
        <v>61</v>
      </c>
      <c r="P27" s="15" t="s">
        <v>62</v>
      </c>
      <c r="R27" s="53" t="s">
        <v>20</v>
      </c>
      <c r="S27" s="14" t="s">
        <v>21</v>
      </c>
      <c r="T27" s="14" t="s">
        <v>87</v>
      </c>
      <c r="U27" s="14" t="s">
        <v>4</v>
      </c>
      <c r="V27" s="14" t="s">
        <v>88</v>
      </c>
      <c r="W27" s="14" t="s">
        <v>89</v>
      </c>
      <c r="X27" s="14" t="s">
        <v>28</v>
      </c>
      <c r="Y27" s="14" t="s">
        <v>28</v>
      </c>
    </row>
    <row r="28" spans="1:25" ht="13" x14ac:dyDescent="0.25">
      <c r="A28" s="2"/>
      <c r="B28" s="5" t="s">
        <v>12</v>
      </c>
      <c r="C28" s="4">
        <v>3</v>
      </c>
      <c r="D28" s="4">
        <v>4</v>
      </c>
      <c r="E28" s="4">
        <v>7</v>
      </c>
      <c r="F28" s="4">
        <v>7</v>
      </c>
      <c r="G28" s="4">
        <v>7</v>
      </c>
      <c r="H28" s="4">
        <v>7</v>
      </c>
      <c r="I28" s="2"/>
      <c r="J28" s="5" t="s">
        <v>12</v>
      </c>
      <c r="K28" s="4">
        <v>3</v>
      </c>
      <c r="L28" s="4">
        <v>3</v>
      </c>
      <c r="M28" s="4">
        <v>9</v>
      </c>
      <c r="N28" s="4">
        <v>16</v>
      </c>
      <c r="O28" s="45">
        <v>14</v>
      </c>
      <c r="P28" s="45">
        <v>2</v>
      </c>
      <c r="R28" s="2"/>
      <c r="S28" s="5" t="s">
        <v>12</v>
      </c>
      <c r="T28" s="14">
        <v>5</v>
      </c>
      <c r="U28" s="21">
        <v>2</v>
      </c>
      <c r="V28" s="4">
        <v>7</v>
      </c>
      <c r="W28" s="4">
        <v>5</v>
      </c>
      <c r="X28" s="4">
        <v>7</v>
      </c>
      <c r="Y28" s="4">
        <v>14</v>
      </c>
    </row>
    <row r="29" spans="1:25" ht="12.5" x14ac:dyDescent="0.25">
      <c r="B29" s="5" t="s">
        <v>33</v>
      </c>
      <c r="C29" s="20" t="s">
        <v>14</v>
      </c>
      <c r="D29" s="21" t="s">
        <v>34</v>
      </c>
      <c r="E29" s="21" t="s">
        <v>34</v>
      </c>
      <c r="F29" s="21" t="s">
        <v>35</v>
      </c>
      <c r="G29" s="21" t="s">
        <v>35</v>
      </c>
      <c r="H29" s="21" t="s">
        <v>51</v>
      </c>
      <c r="J29" s="5" t="s">
        <v>33</v>
      </c>
      <c r="K29" s="58" t="s">
        <v>14</v>
      </c>
      <c r="L29" s="58" t="s">
        <v>66</v>
      </c>
      <c r="M29" s="58" t="s">
        <v>66</v>
      </c>
      <c r="N29" s="58" t="s">
        <v>66</v>
      </c>
      <c r="O29" s="58" t="s">
        <v>76</v>
      </c>
      <c r="P29" s="58" t="s">
        <v>76</v>
      </c>
      <c r="S29" s="5" t="s">
        <v>33</v>
      </c>
      <c r="T29" s="4" t="s">
        <v>14</v>
      </c>
      <c r="U29" s="21" t="s">
        <v>66</v>
      </c>
      <c r="V29" s="21" t="s">
        <v>66</v>
      </c>
      <c r="W29" s="21" t="s">
        <v>66</v>
      </c>
      <c r="X29" s="59">
        <v>0.05</v>
      </c>
      <c r="Y29" s="20" t="s">
        <v>103</v>
      </c>
    </row>
    <row r="30" spans="1:25" ht="12.5" x14ac:dyDescent="0.25">
      <c r="B30" s="5" t="s">
        <v>38</v>
      </c>
      <c r="C30" s="20" t="s">
        <v>14</v>
      </c>
      <c r="D30" s="20">
        <v>150</v>
      </c>
      <c r="E30" s="20">
        <v>150</v>
      </c>
      <c r="F30" s="20">
        <v>250</v>
      </c>
      <c r="G30" s="24">
        <v>250</v>
      </c>
      <c r="H30" s="24">
        <v>250</v>
      </c>
      <c r="J30" s="5" t="s">
        <v>38</v>
      </c>
      <c r="K30" s="20" t="s">
        <v>14</v>
      </c>
      <c r="L30" s="20">
        <v>150</v>
      </c>
      <c r="M30" s="58">
        <v>150</v>
      </c>
      <c r="N30" s="20">
        <v>300</v>
      </c>
      <c r="O30" s="20">
        <v>300</v>
      </c>
      <c r="P30" s="20">
        <v>300</v>
      </c>
      <c r="S30" s="5" t="s">
        <v>38</v>
      </c>
      <c r="T30" s="4"/>
      <c r="U30" s="21">
        <v>140</v>
      </c>
      <c r="V30" s="4">
        <v>150</v>
      </c>
      <c r="W30" s="4">
        <v>200</v>
      </c>
      <c r="X30" s="20">
        <v>200</v>
      </c>
      <c r="Y30" s="20" t="s">
        <v>104</v>
      </c>
    </row>
    <row r="31" spans="1:25" ht="12.5" x14ac:dyDescent="0.25">
      <c r="B31" s="5" t="s">
        <v>41</v>
      </c>
      <c r="C31" s="20" t="s">
        <v>14</v>
      </c>
      <c r="D31" s="20" t="s">
        <v>42</v>
      </c>
      <c r="E31" s="20" t="s">
        <v>42</v>
      </c>
      <c r="F31" s="20" t="s">
        <v>42</v>
      </c>
      <c r="G31" s="20" t="s">
        <v>42</v>
      </c>
      <c r="H31" s="20" t="s">
        <v>42</v>
      </c>
      <c r="J31" s="5" t="s">
        <v>41</v>
      </c>
      <c r="K31" s="20" t="s">
        <v>14</v>
      </c>
      <c r="L31" s="20" t="s">
        <v>69</v>
      </c>
      <c r="M31" s="58" t="s">
        <v>69</v>
      </c>
      <c r="N31" s="58" t="s">
        <v>69</v>
      </c>
      <c r="O31" s="20" t="s">
        <v>78</v>
      </c>
      <c r="P31" s="20" t="s">
        <v>78</v>
      </c>
      <c r="S31" s="5" t="s">
        <v>41</v>
      </c>
      <c r="T31" s="4"/>
      <c r="U31" s="20" t="s">
        <v>43</v>
      </c>
      <c r="V31" s="20" t="s">
        <v>97</v>
      </c>
      <c r="W31" s="4" t="s">
        <v>69</v>
      </c>
      <c r="X31" s="4" t="s">
        <v>42</v>
      </c>
      <c r="Y31" s="4" t="s">
        <v>42</v>
      </c>
    </row>
    <row r="32" spans="1:25" ht="12.5" x14ac:dyDescent="0.25">
      <c r="B32" s="5" t="s">
        <v>118</v>
      </c>
      <c r="C32" s="20" t="s">
        <v>14</v>
      </c>
      <c r="D32" s="20" t="s">
        <v>14</v>
      </c>
      <c r="E32" s="20">
        <v>0.8</v>
      </c>
      <c r="F32" s="20">
        <v>2.2000000000000002</v>
      </c>
      <c r="G32" s="20">
        <v>2.2000000000000002</v>
      </c>
      <c r="H32" s="20">
        <v>2.2000000000000002</v>
      </c>
      <c r="J32" s="5" t="s">
        <v>118</v>
      </c>
      <c r="K32" s="20" t="s">
        <v>14</v>
      </c>
      <c r="L32" s="20" t="s">
        <v>14</v>
      </c>
      <c r="M32" s="20">
        <v>1.2</v>
      </c>
      <c r="N32" s="20">
        <v>1.8</v>
      </c>
      <c r="O32" s="20">
        <v>1.8</v>
      </c>
      <c r="P32" s="20">
        <v>1.8</v>
      </c>
      <c r="S32" s="5" t="s">
        <v>118</v>
      </c>
      <c r="T32" s="4"/>
      <c r="U32" s="21"/>
      <c r="V32" s="4" t="s">
        <v>131</v>
      </c>
      <c r="W32" s="4" t="s">
        <v>131</v>
      </c>
      <c r="X32" s="4" t="s">
        <v>132</v>
      </c>
      <c r="Y32" s="4" t="s">
        <v>132</v>
      </c>
    </row>
    <row r="33" spans="2:25" ht="12.5" x14ac:dyDescent="0.25">
      <c r="B33" s="5" t="s">
        <v>123</v>
      </c>
      <c r="C33" s="20" t="s">
        <v>14</v>
      </c>
      <c r="D33" s="20" t="s">
        <v>14</v>
      </c>
      <c r="E33" s="20" t="s">
        <v>133</v>
      </c>
      <c r="F33" s="20" t="s">
        <v>133</v>
      </c>
      <c r="G33" s="20" t="s">
        <v>133</v>
      </c>
      <c r="H33" s="20" t="s">
        <v>133</v>
      </c>
      <c r="J33" s="5" t="s">
        <v>123</v>
      </c>
      <c r="K33" s="20" t="s">
        <v>14</v>
      </c>
      <c r="L33" s="20" t="s">
        <v>14</v>
      </c>
      <c r="M33" s="20">
        <v>6</v>
      </c>
      <c r="N33" s="20">
        <v>6</v>
      </c>
      <c r="O33" s="20">
        <v>6</v>
      </c>
      <c r="P33" s="20">
        <v>6</v>
      </c>
      <c r="S33" s="5" t="s">
        <v>123</v>
      </c>
      <c r="T33" s="4"/>
      <c r="U33" s="21"/>
      <c r="V33" s="4" t="s">
        <v>134</v>
      </c>
      <c r="W33" s="4" t="s">
        <v>134</v>
      </c>
      <c r="X33" s="4" t="s">
        <v>134</v>
      </c>
      <c r="Y33" s="4" t="s">
        <v>145</v>
      </c>
    </row>
    <row r="34" spans="2:25" ht="12.5" x14ac:dyDescent="0.25">
      <c r="B34" s="5" t="s">
        <v>135</v>
      </c>
      <c r="C34" s="60" t="s">
        <v>136</v>
      </c>
      <c r="D34" s="60"/>
      <c r="E34" s="60"/>
      <c r="F34" s="60"/>
      <c r="G34" s="61"/>
      <c r="H34" s="61"/>
      <c r="J34" s="5" t="s">
        <v>135</v>
      </c>
      <c r="K34" s="5" t="s">
        <v>136</v>
      </c>
      <c r="L34" s="5"/>
      <c r="M34" s="5"/>
      <c r="N34" s="5"/>
      <c r="O34" s="28"/>
      <c r="P34" s="28"/>
      <c r="S34" s="5" t="s">
        <v>135</v>
      </c>
      <c r="T34" s="5" t="s">
        <v>136</v>
      </c>
      <c r="U34" s="21"/>
      <c r="V34" s="5"/>
      <c r="W34" s="5"/>
      <c r="X34" s="5"/>
      <c r="Y34" s="5"/>
    </row>
    <row r="35" spans="2:25" ht="12.5" x14ac:dyDescent="0.25">
      <c r="B35" s="5" t="s">
        <v>137</v>
      </c>
      <c r="C35" s="60" t="s">
        <v>138</v>
      </c>
      <c r="D35" s="60"/>
      <c r="E35" s="60"/>
      <c r="F35" s="60"/>
      <c r="G35" s="61"/>
      <c r="H35" s="61"/>
      <c r="J35" s="5" t="s">
        <v>137</v>
      </c>
      <c r="K35" s="5" t="s">
        <v>138</v>
      </c>
      <c r="L35" s="5"/>
      <c r="M35" s="5"/>
      <c r="N35" s="5"/>
      <c r="O35" s="28"/>
      <c r="P35" s="28"/>
      <c r="S35" s="5" t="s">
        <v>137</v>
      </c>
      <c r="T35" s="5" t="s">
        <v>138</v>
      </c>
      <c r="U35" s="21"/>
      <c r="V35" s="5"/>
      <c r="W35" s="5"/>
      <c r="X35" s="5"/>
      <c r="Y35" s="5"/>
    </row>
    <row r="36" spans="2:25" ht="12.5" x14ac:dyDescent="0.25">
      <c r="B36" s="5" t="s">
        <v>139</v>
      </c>
      <c r="C36" s="60" t="s">
        <v>140</v>
      </c>
      <c r="D36" s="60"/>
      <c r="E36" s="60"/>
      <c r="F36" s="60"/>
      <c r="G36" s="61"/>
      <c r="H36" s="61"/>
      <c r="J36" s="5" t="s">
        <v>139</v>
      </c>
      <c r="K36" s="5" t="s">
        <v>140</v>
      </c>
      <c r="L36" s="5"/>
      <c r="M36" s="5"/>
      <c r="N36" s="5"/>
      <c r="O36" s="28"/>
      <c r="P36" s="28"/>
      <c r="S36" s="5" t="s">
        <v>139</v>
      </c>
      <c r="T36" s="5" t="s">
        <v>141</v>
      </c>
      <c r="U36" s="21"/>
      <c r="V36" s="5"/>
      <c r="W36" s="5"/>
      <c r="X36" s="5"/>
      <c r="Y36" s="5"/>
    </row>
    <row r="37" spans="2:25" ht="12.5" x14ac:dyDescent="0.25">
      <c r="B37" s="5" t="s">
        <v>142</v>
      </c>
      <c r="C37" s="60" t="s">
        <v>143</v>
      </c>
      <c r="D37" s="60"/>
      <c r="E37" s="60"/>
      <c r="F37" s="60"/>
      <c r="G37" s="61"/>
      <c r="H37" s="61"/>
      <c r="J37" s="5" t="s">
        <v>142</v>
      </c>
      <c r="K37" s="5" t="s">
        <v>143</v>
      </c>
      <c r="L37" s="5"/>
      <c r="M37" s="5"/>
      <c r="N37" s="5"/>
      <c r="O37" s="28"/>
      <c r="P37" s="28"/>
      <c r="S37" s="5" t="s">
        <v>142</v>
      </c>
      <c r="T37" s="5" t="s">
        <v>144</v>
      </c>
      <c r="U37" s="21"/>
      <c r="V37" s="5"/>
      <c r="W37" s="5"/>
      <c r="X37" s="5"/>
      <c r="Y37" s="5"/>
    </row>
    <row r="39" spans="2:25" ht="24" customHeight="1" x14ac:dyDescent="0.25">
      <c r="I39" s="62" t="s">
        <v>47</v>
      </c>
      <c r="J39" s="14" t="s">
        <v>21</v>
      </c>
      <c r="K39" s="15" t="s">
        <v>4</v>
      </c>
      <c r="L39" s="15" t="s">
        <v>5</v>
      </c>
      <c r="M39" s="15" t="s">
        <v>22</v>
      </c>
      <c r="N39" s="15" t="s">
        <v>60</v>
      </c>
      <c r="O39" s="15" t="s">
        <v>61</v>
      </c>
      <c r="P39" s="15" t="s">
        <v>61</v>
      </c>
      <c r="Q39" s="15" t="s">
        <v>62</v>
      </c>
    </row>
    <row r="40" spans="2:25" ht="12.5" x14ac:dyDescent="0.25">
      <c r="I40" s="2"/>
      <c r="J40" s="5" t="s">
        <v>12</v>
      </c>
      <c r="K40" s="4">
        <v>3</v>
      </c>
      <c r="L40" s="4">
        <v>3</v>
      </c>
      <c r="M40" s="4">
        <v>9</v>
      </c>
      <c r="N40" s="4">
        <v>16</v>
      </c>
      <c r="O40" s="45">
        <v>9</v>
      </c>
      <c r="P40" s="45">
        <v>5</v>
      </c>
      <c r="Q40" s="45">
        <v>2</v>
      </c>
    </row>
    <row r="41" spans="2:25" ht="12.5" x14ac:dyDescent="0.25">
      <c r="J41" s="5" t="s">
        <v>33</v>
      </c>
      <c r="K41" s="58" t="s">
        <v>14</v>
      </c>
      <c r="L41" s="58" t="s">
        <v>66</v>
      </c>
      <c r="M41" s="58" t="s">
        <v>66</v>
      </c>
      <c r="N41" s="58" t="s">
        <v>66</v>
      </c>
      <c r="O41" s="58" t="s">
        <v>66</v>
      </c>
      <c r="P41" s="58" t="s">
        <v>66</v>
      </c>
      <c r="Q41" s="58" t="s">
        <v>66</v>
      </c>
    </row>
    <row r="42" spans="2:25" ht="12.5" x14ac:dyDescent="0.25">
      <c r="J42" s="5" t="s">
        <v>38</v>
      </c>
      <c r="K42" s="20" t="s">
        <v>14</v>
      </c>
      <c r="L42" s="20">
        <v>150</v>
      </c>
      <c r="M42" s="58">
        <v>150</v>
      </c>
      <c r="N42" s="20">
        <v>300</v>
      </c>
      <c r="O42" s="20">
        <v>300</v>
      </c>
      <c r="P42" s="20">
        <v>300</v>
      </c>
      <c r="Q42" s="20">
        <v>300</v>
      </c>
    </row>
    <row r="43" spans="2:25" ht="12.5" x14ac:dyDescent="0.25">
      <c r="J43" s="5" t="s">
        <v>41</v>
      </c>
      <c r="K43" s="20" t="s">
        <v>14</v>
      </c>
      <c r="L43" s="20" t="s">
        <v>69</v>
      </c>
      <c r="M43" s="58" t="s">
        <v>69</v>
      </c>
      <c r="N43" s="58" t="s">
        <v>69</v>
      </c>
      <c r="O43" s="58" t="s">
        <v>69</v>
      </c>
      <c r="P43" s="20" t="s">
        <v>78</v>
      </c>
      <c r="Q43" s="20" t="s">
        <v>78</v>
      </c>
    </row>
    <row r="44" spans="2:25" ht="12.5" x14ac:dyDescent="0.25">
      <c r="J44" s="5" t="s">
        <v>118</v>
      </c>
      <c r="K44" s="20" t="s">
        <v>14</v>
      </c>
      <c r="L44" s="20" t="s">
        <v>14</v>
      </c>
      <c r="M44" s="20">
        <v>1.2</v>
      </c>
      <c r="N44" s="20">
        <v>1.8</v>
      </c>
      <c r="O44" s="20">
        <v>1.8</v>
      </c>
      <c r="P44" s="20">
        <v>1.8</v>
      </c>
      <c r="Q44" s="20">
        <v>1.8</v>
      </c>
    </row>
    <row r="45" spans="2:25" ht="12.5" x14ac:dyDescent="0.25">
      <c r="J45" s="5" t="s">
        <v>123</v>
      </c>
      <c r="K45" s="20" t="s">
        <v>14</v>
      </c>
      <c r="L45" s="20" t="s">
        <v>14</v>
      </c>
      <c r="M45" s="20">
        <v>6</v>
      </c>
      <c r="N45" s="20">
        <v>6</v>
      </c>
      <c r="O45" s="20">
        <v>6</v>
      </c>
      <c r="P45" s="20">
        <v>6</v>
      </c>
      <c r="Q45" s="20">
        <v>6</v>
      </c>
    </row>
    <row r="46" spans="2:25" ht="12.5" x14ac:dyDescent="0.25">
      <c r="J46" s="5" t="s">
        <v>135</v>
      </c>
      <c r="K46" s="5" t="s">
        <v>136</v>
      </c>
      <c r="L46" s="5"/>
      <c r="M46" s="5"/>
      <c r="N46" s="5"/>
      <c r="O46" s="28"/>
      <c r="P46" s="28"/>
      <c r="Q46" s="28"/>
    </row>
    <row r="47" spans="2:25" ht="12.5" x14ac:dyDescent="0.25">
      <c r="J47" s="5" t="s">
        <v>137</v>
      </c>
      <c r="K47" s="5" t="s">
        <v>138</v>
      </c>
      <c r="L47" s="5"/>
      <c r="M47" s="5"/>
      <c r="N47" s="5"/>
      <c r="O47" s="28"/>
      <c r="P47" s="28"/>
      <c r="Q47" s="28"/>
    </row>
    <row r="48" spans="2:25" ht="12.5" x14ac:dyDescent="0.25">
      <c r="J48" s="5" t="s">
        <v>139</v>
      </c>
      <c r="K48" s="5" t="s">
        <v>140</v>
      </c>
      <c r="L48" s="5"/>
      <c r="M48" s="5"/>
      <c r="N48" s="5"/>
      <c r="O48" s="28"/>
      <c r="P48" s="28"/>
      <c r="Q48" s="28"/>
    </row>
    <row r="49" spans="2:24" ht="12.5" x14ac:dyDescent="0.25">
      <c r="J49" s="5" t="s">
        <v>142</v>
      </c>
      <c r="K49" s="5" t="s">
        <v>143</v>
      </c>
      <c r="L49" s="5"/>
      <c r="M49" s="5"/>
      <c r="N49" s="5"/>
      <c r="O49" s="28"/>
      <c r="P49" s="28"/>
      <c r="Q49" s="28"/>
    </row>
    <row r="51" spans="2:24" ht="15.5" x14ac:dyDescent="0.35">
      <c r="B51" s="103" t="s">
        <v>17</v>
      </c>
      <c r="C51" s="97"/>
      <c r="D51" s="97"/>
      <c r="E51" s="97"/>
      <c r="F51" s="97"/>
      <c r="G51" s="97"/>
      <c r="H51" s="98"/>
      <c r="J51" s="103" t="s">
        <v>57</v>
      </c>
      <c r="K51" s="97"/>
      <c r="L51" s="97"/>
      <c r="M51" s="97"/>
      <c r="N51" s="97"/>
      <c r="O51" s="97"/>
      <c r="P51" s="98"/>
      <c r="R51" s="103" t="s">
        <v>85</v>
      </c>
      <c r="S51" s="97"/>
      <c r="T51" s="97"/>
      <c r="U51" s="97"/>
      <c r="V51" s="97"/>
      <c r="W51" s="98"/>
    </row>
    <row r="52" spans="2:24" ht="15.5" x14ac:dyDescent="0.35">
      <c r="B52" s="101" t="s">
        <v>21</v>
      </c>
      <c r="C52" s="102" t="s">
        <v>146</v>
      </c>
      <c r="D52" s="97"/>
      <c r="E52" s="97"/>
      <c r="F52" s="97"/>
      <c r="G52" s="97"/>
      <c r="H52" s="98"/>
      <c r="J52" s="101" t="s">
        <v>21</v>
      </c>
      <c r="K52" s="102" t="s">
        <v>146</v>
      </c>
      <c r="L52" s="97"/>
      <c r="M52" s="97"/>
      <c r="N52" s="97"/>
      <c r="O52" s="97"/>
      <c r="P52" s="98"/>
      <c r="R52" s="101" t="s">
        <v>21</v>
      </c>
      <c r="S52" s="102" t="s">
        <v>146</v>
      </c>
      <c r="T52" s="97"/>
      <c r="U52" s="97"/>
      <c r="V52" s="97"/>
      <c r="W52" s="98"/>
    </row>
    <row r="53" spans="2:24" ht="13" x14ac:dyDescent="0.3">
      <c r="B53" s="95"/>
      <c r="C53" s="63" t="s">
        <v>4</v>
      </c>
      <c r="D53" s="63" t="s">
        <v>5</v>
      </c>
      <c r="E53" s="63" t="s">
        <v>22</v>
      </c>
      <c r="F53" s="63" t="s">
        <v>23</v>
      </c>
      <c r="G53" s="63" t="s">
        <v>24</v>
      </c>
      <c r="H53" s="63" t="s">
        <v>25</v>
      </c>
      <c r="J53" s="95"/>
      <c r="K53" s="63" t="s">
        <v>4</v>
      </c>
      <c r="L53" s="63" t="s">
        <v>5</v>
      </c>
      <c r="M53" s="63" t="s">
        <v>22</v>
      </c>
      <c r="N53" s="63" t="s">
        <v>60</v>
      </c>
      <c r="O53" s="63" t="s">
        <v>61</v>
      </c>
      <c r="P53" s="63" t="s">
        <v>62</v>
      </c>
      <c r="R53" s="95"/>
      <c r="S53" s="63" t="s">
        <v>147</v>
      </c>
      <c r="T53" s="63" t="s">
        <v>4</v>
      </c>
      <c r="U53" s="63" t="s">
        <v>148</v>
      </c>
      <c r="V53" s="63" t="s">
        <v>60</v>
      </c>
      <c r="W53" s="63" t="s">
        <v>61</v>
      </c>
    </row>
    <row r="54" spans="2:24" ht="12.5" x14ac:dyDescent="0.25">
      <c r="B54" s="5" t="s">
        <v>12</v>
      </c>
      <c r="C54" s="4">
        <v>3</v>
      </c>
      <c r="D54" s="4">
        <v>4</v>
      </c>
      <c r="E54" s="4">
        <v>7</v>
      </c>
      <c r="F54" s="4">
        <v>7</v>
      </c>
      <c r="G54" s="4">
        <v>7</v>
      </c>
      <c r="H54" s="4">
        <v>7</v>
      </c>
      <c r="J54" s="5" t="s">
        <v>12</v>
      </c>
      <c r="K54" s="4">
        <v>3</v>
      </c>
      <c r="L54" s="4">
        <v>3</v>
      </c>
      <c r="M54" s="4">
        <v>9</v>
      </c>
      <c r="N54" s="4">
        <v>16</v>
      </c>
      <c r="O54" s="45">
        <v>14</v>
      </c>
      <c r="P54" s="45">
        <v>2</v>
      </c>
      <c r="R54" s="5" t="s">
        <v>12</v>
      </c>
      <c r="S54" s="4">
        <v>5</v>
      </c>
      <c r="T54" s="4">
        <v>2</v>
      </c>
      <c r="U54" s="4">
        <v>7</v>
      </c>
      <c r="V54" s="4">
        <v>5</v>
      </c>
      <c r="W54" s="45">
        <v>21</v>
      </c>
    </row>
    <row r="56" spans="2:24" ht="15.5" x14ac:dyDescent="0.35">
      <c r="B56" s="103" t="s">
        <v>17</v>
      </c>
      <c r="C56" s="97"/>
      <c r="D56" s="97"/>
      <c r="E56" s="97"/>
      <c r="F56" s="97"/>
      <c r="G56" s="97"/>
      <c r="H56" s="98"/>
      <c r="J56" s="103" t="s">
        <v>57</v>
      </c>
      <c r="K56" s="97"/>
      <c r="L56" s="97"/>
      <c r="M56" s="97"/>
      <c r="N56" s="97"/>
      <c r="O56" s="97"/>
      <c r="P56" s="98"/>
      <c r="R56" s="103" t="s">
        <v>85</v>
      </c>
      <c r="S56" s="97"/>
      <c r="T56" s="97"/>
      <c r="U56" s="97"/>
      <c r="V56" s="97"/>
      <c r="W56" s="97"/>
      <c r="X56" s="98"/>
    </row>
    <row r="57" spans="2:24" ht="15.5" x14ac:dyDescent="0.35">
      <c r="B57" s="101" t="s">
        <v>21</v>
      </c>
      <c r="C57" s="102" t="s">
        <v>146</v>
      </c>
      <c r="D57" s="97"/>
      <c r="E57" s="97"/>
      <c r="F57" s="97"/>
      <c r="G57" s="97"/>
      <c r="H57" s="98"/>
      <c r="J57" s="101" t="s">
        <v>21</v>
      </c>
      <c r="K57" s="102" t="s">
        <v>146</v>
      </c>
      <c r="L57" s="97"/>
      <c r="M57" s="97"/>
      <c r="N57" s="97"/>
      <c r="O57" s="97"/>
      <c r="P57" s="98"/>
      <c r="R57" s="101" t="s">
        <v>21</v>
      </c>
      <c r="S57" s="102" t="s">
        <v>146</v>
      </c>
      <c r="T57" s="97"/>
      <c r="U57" s="97"/>
      <c r="V57" s="97"/>
      <c r="W57" s="97"/>
      <c r="X57" s="98"/>
    </row>
    <row r="58" spans="2:24" ht="13" x14ac:dyDescent="0.3">
      <c r="B58" s="95"/>
      <c r="C58" s="63" t="s">
        <v>4</v>
      </c>
      <c r="D58" s="63" t="s">
        <v>5</v>
      </c>
      <c r="E58" s="63" t="s">
        <v>22</v>
      </c>
      <c r="F58" s="63" t="s">
        <v>23</v>
      </c>
      <c r="G58" s="63" t="s">
        <v>24</v>
      </c>
      <c r="H58" s="63" t="s">
        <v>25</v>
      </c>
      <c r="J58" s="95"/>
      <c r="K58" s="63" t="s">
        <v>4</v>
      </c>
      <c r="L58" s="63" t="s">
        <v>5</v>
      </c>
      <c r="M58" s="63" t="s">
        <v>22</v>
      </c>
      <c r="N58" s="63" t="s">
        <v>60</v>
      </c>
      <c r="O58" s="63" t="s">
        <v>61</v>
      </c>
      <c r="P58" s="63" t="s">
        <v>62</v>
      </c>
      <c r="R58" s="95"/>
      <c r="S58" s="63" t="s">
        <v>147</v>
      </c>
      <c r="T58" s="63" t="s">
        <v>4</v>
      </c>
      <c r="U58" s="63" t="s">
        <v>148</v>
      </c>
      <c r="V58" s="63" t="s">
        <v>60</v>
      </c>
      <c r="W58" s="63" t="s">
        <v>61</v>
      </c>
      <c r="X58" s="63" t="s">
        <v>61</v>
      </c>
    </row>
    <row r="59" spans="2:24" ht="12.5" x14ac:dyDescent="0.25">
      <c r="B59" s="5" t="s">
        <v>12</v>
      </c>
      <c r="C59" s="4">
        <v>3</v>
      </c>
      <c r="D59" s="4">
        <v>4</v>
      </c>
      <c r="E59" s="4">
        <v>7</v>
      </c>
      <c r="F59" s="4">
        <v>7</v>
      </c>
      <c r="G59" s="4">
        <v>7</v>
      </c>
      <c r="H59" s="4">
        <v>7</v>
      </c>
      <c r="J59" s="5" t="s">
        <v>12</v>
      </c>
      <c r="K59" s="4">
        <v>3</v>
      </c>
      <c r="L59" s="4">
        <v>3</v>
      </c>
      <c r="M59" s="4">
        <v>9</v>
      </c>
      <c r="N59" s="4">
        <v>16</v>
      </c>
      <c r="O59" s="45">
        <v>14</v>
      </c>
      <c r="P59" s="45">
        <v>2</v>
      </c>
      <c r="R59" s="5" t="s">
        <v>12</v>
      </c>
      <c r="S59" s="4">
        <v>5</v>
      </c>
      <c r="T59" s="4">
        <v>2</v>
      </c>
      <c r="U59" s="4">
        <v>7</v>
      </c>
      <c r="V59" s="4">
        <v>5</v>
      </c>
      <c r="W59" s="45">
        <v>7</v>
      </c>
      <c r="X59" s="45">
        <v>14</v>
      </c>
    </row>
    <row r="61" spans="2:24" ht="15.5" x14ac:dyDescent="0.35">
      <c r="J61" s="103" t="s">
        <v>57</v>
      </c>
      <c r="K61" s="97"/>
      <c r="L61" s="97"/>
      <c r="M61" s="97"/>
      <c r="N61" s="97"/>
      <c r="O61" s="97"/>
      <c r="P61" s="97"/>
      <c r="Q61" s="98"/>
    </row>
    <row r="62" spans="2:24" ht="15.5" x14ac:dyDescent="0.35">
      <c r="J62" s="101" t="s">
        <v>21</v>
      </c>
      <c r="K62" s="102" t="s">
        <v>146</v>
      </c>
      <c r="L62" s="97"/>
      <c r="M62" s="97"/>
      <c r="N62" s="97"/>
      <c r="O62" s="97"/>
      <c r="P62" s="97"/>
      <c r="Q62" s="98"/>
    </row>
    <row r="63" spans="2:24" ht="13" x14ac:dyDescent="0.3">
      <c r="J63" s="95"/>
      <c r="K63" s="63" t="s">
        <v>4</v>
      </c>
      <c r="L63" s="63" t="s">
        <v>5</v>
      </c>
      <c r="M63" s="63" t="s">
        <v>22</v>
      </c>
      <c r="N63" s="63" t="s">
        <v>60</v>
      </c>
      <c r="O63" s="63" t="s">
        <v>61</v>
      </c>
      <c r="P63" s="63" t="s">
        <v>61</v>
      </c>
      <c r="Q63" s="63" t="s">
        <v>62</v>
      </c>
    </row>
    <row r="64" spans="2:24" ht="12.5" x14ac:dyDescent="0.25">
      <c r="J64" s="5" t="s">
        <v>12</v>
      </c>
      <c r="K64" s="4">
        <v>3</v>
      </c>
      <c r="L64" s="4">
        <v>3</v>
      </c>
      <c r="M64" s="4">
        <v>9</v>
      </c>
      <c r="N64" s="4">
        <v>16</v>
      </c>
      <c r="O64" s="45">
        <v>9</v>
      </c>
      <c r="P64" s="45">
        <v>5</v>
      </c>
      <c r="Q64" s="45">
        <v>2</v>
      </c>
    </row>
  </sheetData>
  <sheetProtection sheet="1" objects="1" scenarios="1"/>
  <mergeCells count="29">
    <mergeCell ref="L3:M3"/>
    <mergeCell ref="O3:P3"/>
    <mergeCell ref="C52:H52"/>
    <mergeCell ref="B56:H56"/>
    <mergeCell ref="B57:B58"/>
    <mergeCell ref="C57:H57"/>
    <mergeCell ref="J57:J58"/>
    <mergeCell ref="F3:F4"/>
    <mergeCell ref="B51:H51"/>
    <mergeCell ref="J51:P51"/>
    <mergeCell ref="B3:B4"/>
    <mergeCell ref="C3:C4"/>
    <mergeCell ref="D3:D4"/>
    <mergeCell ref="E3:E4"/>
    <mergeCell ref="G3:J3"/>
    <mergeCell ref="R51:W51"/>
    <mergeCell ref="B52:B53"/>
    <mergeCell ref="J52:J53"/>
    <mergeCell ref="S52:W52"/>
    <mergeCell ref="J61:Q61"/>
    <mergeCell ref="J62:J63"/>
    <mergeCell ref="K62:Q62"/>
    <mergeCell ref="K52:P52"/>
    <mergeCell ref="R52:R53"/>
    <mergeCell ref="J56:P56"/>
    <mergeCell ref="R56:X56"/>
    <mergeCell ref="K57:P57"/>
    <mergeCell ref="R57:R58"/>
    <mergeCell ref="S57:X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Z34"/>
  <sheetViews>
    <sheetView topLeftCell="A19" workbookViewId="0">
      <selection activeCell="K25" sqref="K25"/>
    </sheetView>
  </sheetViews>
  <sheetFormatPr defaultColWidth="12.6328125" defaultRowHeight="15.75" customHeight="1" x14ac:dyDescent="0.25"/>
  <cols>
    <col min="6" max="6" width="13.6328125" customWidth="1"/>
    <col min="9" max="9" width="14.6328125" customWidth="1"/>
  </cols>
  <sheetData>
    <row r="2" spans="1:26" ht="15.75" customHeight="1" x14ac:dyDescent="0.3">
      <c r="A2" s="42"/>
      <c r="B2" s="109" t="s">
        <v>149</v>
      </c>
      <c r="C2" s="100"/>
      <c r="D2" s="100"/>
      <c r="E2" s="100"/>
      <c r="F2" s="100"/>
      <c r="G2" s="100"/>
      <c r="H2" s="100"/>
      <c r="I2" s="100"/>
    </row>
    <row r="3" spans="1:26" ht="15.75" customHeight="1" x14ac:dyDescent="0.3">
      <c r="A3" s="42"/>
      <c r="B3" s="64" t="s">
        <v>150</v>
      </c>
      <c r="C3" s="64" t="s">
        <v>86</v>
      </c>
      <c r="D3" s="64" t="s">
        <v>4</v>
      </c>
      <c r="E3" s="64" t="s">
        <v>5</v>
      </c>
      <c r="F3" s="64" t="s">
        <v>148</v>
      </c>
      <c r="G3" s="64" t="s">
        <v>60</v>
      </c>
      <c r="H3" s="64" t="s">
        <v>61</v>
      </c>
      <c r="I3" s="64" t="s">
        <v>151</v>
      </c>
    </row>
    <row r="4" spans="1:26" ht="15.75" customHeight="1" x14ac:dyDescent="0.25">
      <c r="A4" s="65" t="s">
        <v>152</v>
      </c>
      <c r="B4" s="41" t="s">
        <v>153</v>
      </c>
      <c r="C4" s="40"/>
      <c r="D4" s="41" t="s">
        <v>154</v>
      </c>
      <c r="E4" s="66">
        <v>24873</v>
      </c>
      <c r="F4" s="66">
        <v>25024</v>
      </c>
      <c r="G4" s="67"/>
      <c r="H4" s="68" t="s">
        <v>155</v>
      </c>
      <c r="I4" s="66">
        <v>24903</v>
      </c>
    </row>
    <row r="5" spans="1:26" ht="15.75" customHeight="1" x14ac:dyDescent="0.25">
      <c r="A5" s="65" t="s">
        <v>156</v>
      </c>
      <c r="B5" s="41" t="s">
        <v>157</v>
      </c>
      <c r="C5" s="40"/>
      <c r="D5" s="41" t="s">
        <v>154</v>
      </c>
      <c r="E5" s="66">
        <v>24873</v>
      </c>
      <c r="F5" s="66">
        <v>25024</v>
      </c>
      <c r="G5" s="41" t="s">
        <v>155</v>
      </c>
      <c r="H5" s="41" t="s">
        <v>158</v>
      </c>
      <c r="I5" s="41" t="s">
        <v>159</v>
      </c>
    </row>
    <row r="6" spans="1:26" ht="15.75" customHeight="1" x14ac:dyDescent="0.25">
      <c r="A6" s="65" t="s">
        <v>152</v>
      </c>
      <c r="B6" s="41" t="s">
        <v>160</v>
      </c>
      <c r="C6" s="41" t="s">
        <v>161</v>
      </c>
      <c r="D6" s="66">
        <v>24842</v>
      </c>
      <c r="E6" s="66">
        <v>24963</v>
      </c>
      <c r="F6" s="66">
        <v>25024</v>
      </c>
      <c r="G6" s="40"/>
      <c r="H6" s="66">
        <v>25116</v>
      </c>
      <c r="I6" s="66">
        <v>24995</v>
      </c>
    </row>
    <row r="7" spans="1:26" ht="15.75" customHeight="1" x14ac:dyDescent="0.25">
      <c r="A7" s="65" t="s">
        <v>162</v>
      </c>
      <c r="B7" s="41" t="s">
        <v>163</v>
      </c>
      <c r="C7" s="40"/>
      <c r="D7" s="41" t="s">
        <v>154</v>
      </c>
      <c r="E7" s="66">
        <v>24873</v>
      </c>
      <c r="F7" s="66">
        <v>25024</v>
      </c>
      <c r="G7" s="41"/>
      <c r="H7" s="41" t="s">
        <v>155</v>
      </c>
      <c r="I7" s="66">
        <v>25117</v>
      </c>
    </row>
    <row r="9" spans="1:26" ht="15.75" customHeight="1" x14ac:dyDescent="0.3">
      <c r="B9" s="110" t="s">
        <v>149</v>
      </c>
      <c r="C9" s="100"/>
      <c r="D9" s="100"/>
      <c r="E9" s="100"/>
      <c r="F9" s="100"/>
      <c r="G9" s="100"/>
      <c r="H9" s="100"/>
      <c r="I9" s="100"/>
    </row>
    <row r="10" spans="1:26" ht="15.75" customHeight="1" x14ac:dyDescent="0.3">
      <c r="B10" s="69" t="s">
        <v>150</v>
      </c>
      <c r="C10" s="69" t="s">
        <v>86</v>
      </c>
      <c r="D10" s="69" t="s">
        <v>4</v>
      </c>
      <c r="E10" s="69" t="s">
        <v>5</v>
      </c>
      <c r="F10" s="69" t="s">
        <v>148</v>
      </c>
      <c r="G10" s="69" t="s">
        <v>60</v>
      </c>
      <c r="H10" s="69" t="s">
        <v>61</v>
      </c>
      <c r="I10" s="69" t="s">
        <v>151</v>
      </c>
    </row>
    <row r="11" spans="1:26" ht="15.75" customHeight="1" x14ac:dyDescent="0.25">
      <c r="A11" s="57" t="s">
        <v>152</v>
      </c>
      <c r="B11" s="4" t="s">
        <v>153</v>
      </c>
      <c r="C11" s="5"/>
      <c r="D11" s="70" t="s">
        <v>164</v>
      </c>
      <c r="E11" s="70" t="s">
        <v>165</v>
      </c>
      <c r="F11" s="4" t="s">
        <v>166</v>
      </c>
      <c r="G11" s="71"/>
      <c r="H11" s="72">
        <v>24874</v>
      </c>
      <c r="I11" s="4" t="s">
        <v>167</v>
      </c>
    </row>
    <row r="12" spans="1:26" ht="15.75" customHeight="1" x14ac:dyDescent="0.25">
      <c r="A12" s="73" t="s">
        <v>156</v>
      </c>
      <c r="B12" s="74" t="s">
        <v>157</v>
      </c>
      <c r="C12" s="75"/>
      <c r="D12" s="74" t="s">
        <v>168</v>
      </c>
      <c r="E12" s="74" t="s">
        <v>169</v>
      </c>
      <c r="F12" s="74" t="s">
        <v>170</v>
      </c>
      <c r="G12" s="74" t="s">
        <v>171</v>
      </c>
      <c r="H12" s="74" t="s">
        <v>172</v>
      </c>
      <c r="I12" s="76">
        <v>24965</v>
      </c>
      <c r="J12" s="77">
        <v>47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5.75" customHeight="1" x14ac:dyDescent="0.25">
      <c r="A13" s="57" t="s">
        <v>152</v>
      </c>
      <c r="B13" s="4" t="s">
        <v>160</v>
      </c>
      <c r="C13" s="4" t="s">
        <v>164</v>
      </c>
      <c r="D13" s="4" t="s">
        <v>173</v>
      </c>
      <c r="E13" s="4" t="s">
        <v>174</v>
      </c>
      <c r="F13" s="4" t="s">
        <v>175</v>
      </c>
      <c r="G13" s="5"/>
      <c r="H13" s="4" t="s">
        <v>176</v>
      </c>
      <c r="I13" s="4" t="s">
        <v>177</v>
      </c>
      <c r="J13" s="78">
        <v>38</v>
      </c>
    </row>
    <row r="14" spans="1:26" ht="15.75" customHeight="1" x14ac:dyDescent="0.25">
      <c r="A14" s="57" t="s">
        <v>162</v>
      </c>
      <c r="B14" s="4" t="s">
        <v>163</v>
      </c>
      <c r="C14" s="5"/>
      <c r="D14" s="4" t="s">
        <v>164</v>
      </c>
      <c r="E14" s="70" t="s">
        <v>165</v>
      </c>
      <c r="F14" s="4" t="s">
        <v>166</v>
      </c>
      <c r="G14" s="4"/>
      <c r="H14" s="79">
        <v>24874</v>
      </c>
      <c r="I14" s="4" t="s">
        <v>178</v>
      </c>
      <c r="J14" s="78">
        <v>42</v>
      </c>
    </row>
    <row r="16" spans="1:26" ht="15.75" customHeight="1" x14ac:dyDescent="0.3">
      <c r="B16" s="111" t="s">
        <v>179</v>
      </c>
      <c r="C16" s="112"/>
      <c r="D16" s="112"/>
      <c r="E16" s="112"/>
      <c r="F16" s="112"/>
      <c r="G16" s="112"/>
      <c r="H16" s="112"/>
      <c r="I16" s="112"/>
      <c r="M16" s="69" t="s">
        <v>150</v>
      </c>
      <c r="N16" s="69" t="s">
        <v>27</v>
      </c>
      <c r="O16" s="69" t="s">
        <v>28</v>
      </c>
      <c r="P16" s="83" t="s">
        <v>151</v>
      </c>
    </row>
    <row r="17" spans="1:16" ht="15.75" customHeight="1" x14ac:dyDescent="0.3">
      <c r="B17" s="69" t="s">
        <v>150</v>
      </c>
      <c r="C17" s="69" t="s">
        <v>87</v>
      </c>
      <c r="D17" s="69" t="s">
        <v>4</v>
      </c>
      <c r="E17" s="69" t="s">
        <v>5</v>
      </c>
      <c r="F17" s="69" t="s">
        <v>148</v>
      </c>
      <c r="G17" s="80" t="s">
        <v>60</v>
      </c>
      <c r="H17" s="80" t="s">
        <v>61</v>
      </c>
      <c r="I17" s="69" t="s">
        <v>151</v>
      </c>
      <c r="M17" s="4" t="s">
        <v>153</v>
      </c>
      <c r="N17" s="71">
        <v>25148</v>
      </c>
      <c r="O17" s="4" t="s">
        <v>182</v>
      </c>
      <c r="P17" s="85" t="s">
        <v>183</v>
      </c>
    </row>
    <row r="18" spans="1:16" ht="15.75" customHeight="1" x14ac:dyDescent="0.25">
      <c r="A18" s="57" t="s">
        <v>152</v>
      </c>
      <c r="B18" s="4" t="s">
        <v>153</v>
      </c>
      <c r="C18" s="5"/>
      <c r="D18" s="71">
        <v>25148</v>
      </c>
      <c r="E18" s="4" t="s">
        <v>180</v>
      </c>
      <c r="F18" s="4" t="s">
        <v>181</v>
      </c>
      <c r="G18" s="81"/>
      <c r="H18" s="82" t="s">
        <v>182</v>
      </c>
      <c r="I18" s="4" t="s">
        <v>183</v>
      </c>
      <c r="J18" s="78" t="s">
        <v>184</v>
      </c>
      <c r="M18" s="4" t="s">
        <v>157</v>
      </c>
      <c r="N18" s="71">
        <v>25148</v>
      </c>
      <c r="O18" s="71">
        <v>24875</v>
      </c>
      <c r="P18" s="85" t="s">
        <v>189</v>
      </c>
    </row>
    <row r="19" spans="1:16" ht="15.75" customHeight="1" x14ac:dyDescent="0.25">
      <c r="A19" s="73" t="s">
        <v>156</v>
      </c>
      <c r="B19" s="4" t="s">
        <v>157</v>
      </c>
      <c r="C19" s="5"/>
      <c r="D19" s="71">
        <v>25148</v>
      </c>
      <c r="E19" s="4" t="s">
        <v>180</v>
      </c>
      <c r="F19" s="4" t="s">
        <v>185</v>
      </c>
      <c r="G19" s="4" t="s">
        <v>186</v>
      </c>
      <c r="H19" s="71">
        <v>25179</v>
      </c>
      <c r="I19" s="4" t="s">
        <v>187</v>
      </c>
      <c r="J19" s="78" t="s">
        <v>188</v>
      </c>
      <c r="M19" s="4" t="s">
        <v>160</v>
      </c>
      <c r="N19" s="71">
        <v>25148</v>
      </c>
      <c r="O19" s="4" t="s">
        <v>193</v>
      </c>
      <c r="P19" s="85" t="s">
        <v>194</v>
      </c>
    </row>
    <row r="20" spans="1:16" ht="15.75" customHeight="1" x14ac:dyDescent="0.25">
      <c r="A20" s="57" t="s">
        <v>152</v>
      </c>
      <c r="B20" s="4" t="s">
        <v>160</v>
      </c>
      <c r="C20" s="71">
        <v>25148</v>
      </c>
      <c r="D20" s="4" t="s">
        <v>190</v>
      </c>
      <c r="E20" s="4"/>
      <c r="F20" s="4" t="s">
        <v>181</v>
      </c>
      <c r="G20" s="4" t="s">
        <v>182</v>
      </c>
      <c r="H20" s="4" t="s">
        <v>178</v>
      </c>
      <c r="I20" s="4" t="s">
        <v>191</v>
      </c>
      <c r="J20" s="78" t="s">
        <v>192</v>
      </c>
    </row>
    <row r="21" spans="1:16" ht="15.75" customHeight="1" x14ac:dyDescent="0.3">
      <c r="A21" s="57"/>
      <c r="B21" s="69" t="s">
        <v>150</v>
      </c>
      <c r="C21" s="69" t="s">
        <v>87</v>
      </c>
      <c r="D21" s="69" t="s">
        <v>4</v>
      </c>
      <c r="E21" s="69" t="s">
        <v>5</v>
      </c>
      <c r="F21" s="69" t="s">
        <v>148</v>
      </c>
      <c r="G21" s="80" t="s">
        <v>195</v>
      </c>
      <c r="H21" s="80" t="s">
        <v>196</v>
      </c>
      <c r="I21" s="80" t="s">
        <v>197</v>
      </c>
      <c r="J21" s="80" t="s">
        <v>198</v>
      </c>
      <c r="K21" s="89" t="s">
        <v>151</v>
      </c>
    </row>
    <row r="22" spans="1:16" ht="12.5" x14ac:dyDescent="0.25">
      <c r="A22" s="57" t="s">
        <v>162</v>
      </c>
      <c r="B22" s="4" t="s">
        <v>163</v>
      </c>
      <c r="C22" s="5"/>
      <c r="D22" s="71">
        <v>25148</v>
      </c>
      <c r="E22" s="4" t="s">
        <v>180</v>
      </c>
      <c r="F22" s="4" t="s">
        <v>181</v>
      </c>
      <c r="G22" s="4" t="s">
        <v>182</v>
      </c>
      <c r="H22" s="90">
        <v>25021</v>
      </c>
      <c r="I22" s="90">
        <v>25028</v>
      </c>
      <c r="J22" s="90">
        <v>25035</v>
      </c>
      <c r="K22" s="88">
        <v>25041</v>
      </c>
      <c r="L22" s="78" t="s">
        <v>199</v>
      </c>
    </row>
    <row r="24" spans="1:16" ht="13" x14ac:dyDescent="0.3">
      <c r="B24" s="111" t="s">
        <v>212</v>
      </c>
      <c r="C24" s="112"/>
      <c r="D24" s="112"/>
      <c r="E24" s="112"/>
      <c r="F24" s="112"/>
      <c r="G24" s="112"/>
      <c r="H24" s="112"/>
      <c r="I24" s="112"/>
    </row>
    <row r="25" spans="1:16" ht="13" x14ac:dyDescent="0.3">
      <c r="B25" s="69" t="s">
        <v>150</v>
      </c>
      <c r="C25" s="69" t="s">
        <v>87</v>
      </c>
      <c r="D25" s="69" t="s">
        <v>4</v>
      </c>
      <c r="E25" s="69" t="s">
        <v>5</v>
      </c>
      <c r="F25" s="69" t="s">
        <v>148</v>
      </c>
      <c r="G25" s="80" t="s">
        <v>60</v>
      </c>
      <c r="H25" s="114" t="s">
        <v>61</v>
      </c>
      <c r="I25" s="69" t="s">
        <v>151</v>
      </c>
      <c r="P25" s="84"/>
    </row>
    <row r="26" spans="1:16" ht="12.5" x14ac:dyDescent="0.25">
      <c r="B26" s="4" t="s">
        <v>153</v>
      </c>
      <c r="C26" s="5"/>
      <c r="D26" s="71">
        <v>25149</v>
      </c>
      <c r="E26" s="115">
        <v>25033</v>
      </c>
      <c r="F26" s="115">
        <v>25037</v>
      </c>
      <c r="G26" s="116"/>
      <c r="H26" s="117">
        <v>25044</v>
      </c>
      <c r="I26" s="115">
        <v>25065</v>
      </c>
      <c r="J26" s="78" t="s">
        <v>184</v>
      </c>
      <c r="P26" s="86"/>
    </row>
    <row r="27" spans="1:16" ht="12.5" x14ac:dyDescent="0.25">
      <c r="B27" s="4" t="s">
        <v>157</v>
      </c>
      <c r="C27" s="5"/>
      <c r="D27" s="71">
        <v>25149</v>
      </c>
      <c r="E27" s="115">
        <v>25033</v>
      </c>
      <c r="F27" s="115">
        <v>25036</v>
      </c>
      <c r="G27" s="115">
        <v>25045</v>
      </c>
      <c r="H27" s="115">
        <v>25061</v>
      </c>
      <c r="I27" s="118">
        <v>25078</v>
      </c>
      <c r="J27" s="78" t="s">
        <v>188</v>
      </c>
      <c r="P27" s="87"/>
    </row>
    <row r="28" spans="1:16" ht="12.5" x14ac:dyDescent="0.25">
      <c r="B28" s="4" t="s">
        <v>160</v>
      </c>
      <c r="C28" s="71">
        <v>25149</v>
      </c>
      <c r="D28" s="4"/>
      <c r="E28" s="4"/>
      <c r="F28" s="4"/>
      <c r="G28" s="4"/>
      <c r="H28" s="4"/>
      <c r="I28" s="4"/>
      <c r="J28" s="78" t="s">
        <v>192</v>
      </c>
      <c r="P28" s="86"/>
    </row>
    <row r="29" spans="1:16" ht="13" x14ac:dyDescent="0.3">
      <c r="B29" s="69" t="s">
        <v>150</v>
      </c>
      <c r="C29" s="89" t="s">
        <v>87</v>
      </c>
      <c r="D29" s="89" t="s">
        <v>4</v>
      </c>
      <c r="E29" s="89" t="s">
        <v>5</v>
      </c>
      <c r="F29" s="89" t="s">
        <v>148</v>
      </c>
      <c r="G29" s="114" t="s">
        <v>195</v>
      </c>
      <c r="H29" s="114" t="s">
        <v>196</v>
      </c>
      <c r="I29" s="114" t="s">
        <v>197</v>
      </c>
      <c r="J29" s="114" t="s">
        <v>198</v>
      </c>
      <c r="K29" s="89" t="s">
        <v>151</v>
      </c>
    </row>
    <row r="30" spans="1:16" ht="15.75" customHeight="1" x14ac:dyDescent="0.25">
      <c r="B30" s="85" t="s">
        <v>163</v>
      </c>
      <c r="C30" s="119"/>
      <c r="D30" s="120">
        <v>25149</v>
      </c>
      <c r="E30" s="117">
        <v>25033</v>
      </c>
      <c r="F30" s="117">
        <v>25037</v>
      </c>
      <c r="G30" s="117">
        <v>25044</v>
      </c>
      <c r="H30" s="117">
        <v>25051</v>
      </c>
      <c r="I30" s="117">
        <v>25058</v>
      </c>
      <c r="J30" s="117">
        <v>25065</v>
      </c>
      <c r="K30" s="117">
        <v>25072</v>
      </c>
      <c r="L30" s="78" t="s">
        <v>199</v>
      </c>
    </row>
    <row r="34" spans="7:7" ht="15.75" customHeight="1" x14ac:dyDescent="0.25">
      <c r="G34" s="113"/>
    </row>
  </sheetData>
  <mergeCells count="4">
    <mergeCell ref="B2:I2"/>
    <mergeCell ref="B9:I9"/>
    <mergeCell ref="B16:I16"/>
    <mergeCell ref="B24:I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30097B2F6F65D4CAE994404FE09A012" ma:contentTypeVersion="16" ma:contentTypeDescription="สร้างเอกสารใหม่" ma:contentTypeScope="" ma:versionID="427cf8b839bb658d7881cc486640066c">
  <xsd:schema xmlns:xsd="http://www.w3.org/2001/XMLSchema" xmlns:xs="http://www.w3.org/2001/XMLSchema" xmlns:p="http://schemas.microsoft.com/office/2006/metadata/properties" xmlns:ns1="http://schemas.microsoft.com/sharepoint/v3" xmlns:ns2="13463340-6b6b-4001-8469-b0b844ba3569" xmlns:ns3="2c76fc64-0fb0-419d-91be-dc2572611272" targetNamespace="http://schemas.microsoft.com/office/2006/metadata/properties" ma:root="true" ma:fieldsID="c692a936ff9dcd20d44a344403dbe4f0" ns1:_="" ns2:_="" ns3:_="">
    <xsd:import namespace="http://schemas.microsoft.com/sharepoint/v3"/>
    <xsd:import namespace="13463340-6b6b-4001-8469-b0b844ba3569"/>
    <xsd:import namespace="2c76fc64-0fb0-419d-91be-dc257261127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_x0e2a__x0e48__x0e07__x0e21__x0e2d__x0e1a__x0e07__x0e32__x0e1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กำหนดการวันที่เริ่ม" ma:description="วันที่เริ่มต้นของการจัดกำหนดการคือคอลัมน์ของไซต์ที่สร้างขึ้นโดยฟีเจอร์การเผยแพร่ ซึ่งใช้เพื่อระบุวันที่และเวลาที่หน้านี้จะปรากฏให้ผู้เยี่ยมชมไซต์เห็นเป็นครั้งแรก" ma:hidden="true" ma:internalName="PublishingStartDate">
      <xsd:simpleType>
        <xsd:restriction base="dms:Unknown"/>
      </xsd:simpleType>
    </xsd:element>
    <xsd:element name="PublishingExpirationDate" ma:index="12" nillable="true" ma:displayName="กำหนดการวันที่สิ้นสุด" ma:description="การจัดกำหนดการวันสิ้นสุดคือคอลัมน์ของไซต์ที่สร้างขึ้นโดยฟีเจอร์การเผยแพร่ ซึ่งใช้เพื่อระบุวันที่และเวลาที่หน้านี้จะไม่ปรากฏให้ผู้เยี่ยมชมไซต์เห็นอีกต่อไป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63340-6b6b-4001-8469-b0b844ba35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ค่าของรหัสเอกสาร" ma:description="ค่าของรหัสเอกสารที่กำหนดให้กับรายการนี้" ma:indexed="true" ma:internalName="_dlc_DocId" ma:readOnly="true">
      <xsd:simpleType>
        <xsd:restriction base="dms:Text"/>
      </xsd:simpleType>
    </xsd:element>
    <xsd:element name="_dlc_DocIdUrl" ma:index="9" nillable="true" ma:displayName="รหัสเอกสาร" ma:description="ลิงก์ถาวรไปยังเอกสารนี้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64d61092-5246-4ade-8555-d44875a654a4}" ma:internalName="TaxCatchAll" ma:showField="CatchAllData" ma:web="13463340-6b6b-4001-8469-b0b844ba3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6fc64-0fb0-419d-91be-dc2572611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แท็กรูป" ma:readOnly="false" ma:fieldId="{5cf76f15-5ced-4ddc-b409-7134ff3c332f}" ma:taxonomyMulti="true" ma:sspId="d2b00081-9815-4712-a035-2b1633ed4d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e2a__x0e48__x0e07__x0e21__x0e2d__x0e1a__x0e07__x0e32__x0e19_" ma:index="27" nillable="true" ma:displayName="ส่งมอบงาน" ma:description="https://ilovecivic.sharepoint.com/:x:/r/sites/Public/_layouts/15/Doc.aspx?sourcedoc=%7B35D61080-8860-4CDE-AC45-5992F9193328%7D&amp;file=0.%20%E0%B9%81%E0%B8%9C%E0%B8%99%E0%B8%AA%E0%B9%88%E0%B8%87%E0%B8%A1%E0%B8%AD%E0%B8%9A%E0%B8%87%E0%B8%B2%E0%B8%99%E0%B8%9C%E0%B8%B9%E0%B9%89%E0%B8%88%E0%B8%B1%E0%B8%94%E0%B8%81%E0%B8%B2%E0%B8%A3.xlsx&amp;action=default&amp;mobileredirect=true" ma:format="Dropdown" ma:internalName="_x0e2a__x0e48__x0e07__x0e21__x0e2d__x0e1a__x0e07__x0e32__x0e19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e2a__x0e48__x0e07__x0e21__x0e2d__x0e1a__x0e07__x0e32__x0e19_ xmlns="2c76fc64-0fb0-419d-91be-dc2572611272" xsi:nil="true"/>
    <lcf76f155ced4ddcb4097134ff3c332f xmlns="2c76fc64-0fb0-419d-91be-dc2572611272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13463340-6b6b-4001-8469-b0b844ba3569" xsi:nil="true"/>
    <_dlc_DocId xmlns="13463340-6b6b-4001-8469-b0b844ba3569">HFX3PYVAEF6D-1689872778-1890345</_dlc_DocId>
    <_dlc_DocIdUrl xmlns="13463340-6b6b-4001-8469-b0b844ba3569">
      <Url>https://ilovecivic.sharepoint.com/sites/Public/_layouts/15/DocIdRedir.aspx?ID=HFX3PYVAEF6D-1689872778-1890345</Url>
      <Description>HFX3PYVAEF6D-1689872778-1890345</Description>
    </_dlc_DocIdUrl>
  </documentManagement>
</p:properties>
</file>

<file path=customXml/itemProps1.xml><?xml version="1.0" encoding="utf-8"?>
<ds:datastoreItem xmlns:ds="http://schemas.openxmlformats.org/officeDocument/2006/customXml" ds:itemID="{E8FD9F56-B951-406C-BB82-D92A0B290D40}"/>
</file>

<file path=customXml/itemProps2.xml><?xml version="1.0" encoding="utf-8"?>
<ds:datastoreItem xmlns:ds="http://schemas.openxmlformats.org/officeDocument/2006/customXml" ds:itemID="{F0E78462-2BEC-4A50-A6DA-36A44394F9D7}"/>
</file>

<file path=customXml/itemProps3.xml><?xml version="1.0" encoding="utf-8"?>
<ds:datastoreItem xmlns:ds="http://schemas.openxmlformats.org/officeDocument/2006/customXml" ds:itemID="{3857D560-C728-48CF-9392-E17E83DB1AC3}"/>
</file>

<file path=customXml/itemProps4.xml><?xml version="1.0" encoding="utf-8"?>
<ds:datastoreItem xmlns:ds="http://schemas.openxmlformats.org/officeDocument/2006/customXml" ds:itemID="{4CC1CE9C-8C1A-401E-AC2A-537293077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แสง</vt:lpstr>
      <vt:lpstr>สูตรปลูก</vt:lpstr>
      <vt:lpstr>แผนปลูก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Pimwipa Sabaingam</dc:creator>
  <cp:lastModifiedBy>Weerawut Dechmareong</cp:lastModifiedBy>
  <dcterms:created xsi:type="dcterms:W3CDTF">2025-06-26T15:14:10Z</dcterms:created>
  <dcterms:modified xsi:type="dcterms:W3CDTF">2025-07-18T09:43:53Z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0x010100830097B2F6F65D4CAE994404FE09A012</vt:lpwstr>
  </property>
  <property fmtid="{D5CDD505-2E9C-101B-9397-08002B2CF9AE}" pid="3" name="_dlc_DocIdItemGuid">
    <vt:lpwstr>c701dc70-aba7-41cf-8b29-6f11a7314a8a</vt:lpwstr>
  </property>
</Properties>
</file>